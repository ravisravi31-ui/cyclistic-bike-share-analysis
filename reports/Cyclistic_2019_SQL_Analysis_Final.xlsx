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6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8.xml" ContentType="application/vnd.openxmlformats-officedocument.drawingml.char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drawings/charts/chart9.xml" ContentType="application/vnd.openxmlformats-officedocument.drawingml.char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drawings/charts/chart10.xml" ContentType="application/vnd.openxmlformats-officedocument.drawingml.char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drawings/charts/chart11.xml" ContentType="application/vnd.openxmlformats-officedocument.drawingml.char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drawings/charts/chart12.xml" ContentType="application/vnd.openxmlformats-officedocument.drawingml.char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drawings/charts/chart13.xml" ContentType="application/vnd.openxmlformats-officedocument.drawingml.char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drawings/charts/chart14.xml" ContentType="application/vnd.openxmlformats-officedocument.drawingml.char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drawings/charts/chart15.xml" ContentType="application/vnd.openxmlformats-officedocument.drawingml.char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9090314b5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2f1b8c54d444d5e"/>
    <x:sheet xmlns:r="http://schemas.openxmlformats.org/officeDocument/2006/relationships" name="KPI_Summary" sheetId="2" r:id="R7a0d9babda6246f8"/>
    <x:sheet xmlns:r="http://schemas.openxmlformats.org/officeDocument/2006/relationships" name="User_Type" sheetId="3" r:id="Rccdb02d4e4de4966"/>
    <x:sheet xmlns:r="http://schemas.openxmlformats.org/officeDocument/2006/relationships" name="Day_User" sheetId="4" r:id="R28f887c2e99640ce"/>
    <x:sheet xmlns:r="http://schemas.openxmlformats.org/officeDocument/2006/relationships" name="Month_Total" sheetId="5" r:id="Rfda8f1fb218b4f9b"/>
    <x:sheet xmlns:r="http://schemas.openxmlformats.org/officeDocument/2006/relationships" name="Month_User" sheetId="6" r:id="R5295a525b6414cfa"/>
    <x:sheet xmlns:r="http://schemas.openxmlformats.org/officeDocument/2006/relationships" name="Quarter" sheetId="7" r:id="Rac3c3270492e44eb"/>
    <x:sheet xmlns:r="http://schemas.openxmlformats.org/officeDocument/2006/relationships" name="Hour" sheetId="8" r:id="R31583acce22443fc"/>
    <x:sheet xmlns:r="http://schemas.openxmlformats.org/officeDocument/2006/relationships" name="Hour_User" sheetId="9" r:id="R67ffd8e3ce3e446a"/>
    <x:sheet xmlns:r="http://schemas.openxmlformats.org/officeDocument/2006/relationships" name="Weekday_Weekend" sheetId="10" r:id="Rb3457ff7c27048d8"/>
    <x:sheet xmlns:r="http://schemas.openxmlformats.org/officeDocument/2006/relationships" name="Age" sheetId="11" r:id="R44722a396a6743c3"/>
    <x:sheet xmlns:r="http://schemas.openxmlformats.org/officeDocument/2006/relationships" name="Age_User" sheetId="12" r:id="R4db9a4dbea904819"/>
    <x:sheet xmlns:r="http://schemas.openxmlformats.org/officeDocument/2006/relationships" name="Gender_User" sheetId="13" r:id="R1751fc2d1e5345a7"/>
    <x:sheet xmlns:r="http://schemas.openxmlformats.org/officeDocument/2006/relationships" name="Ride_Length" sheetId="14" r:id="R6e7ee3d545ff43df"/>
    <x:sheet xmlns:r="http://schemas.openxmlformats.org/officeDocument/2006/relationships" name="Start_Stations" sheetId="15" r:id="R76a0105ffec845a1"/>
    <x:sheet xmlns:r="http://schemas.openxmlformats.org/officeDocument/2006/relationships" name="End_Stations" sheetId="16" r:id="R8b811d8a24e84c1d"/>
    <x:sheet xmlns:r="http://schemas.openxmlformats.org/officeDocument/2006/relationships" name="Top_Routes" sheetId="17" r:id="Ra2fdcce62bdd489c"/>
    <x:sheet xmlns:r="http://schemas.openxmlformats.org/officeDocument/2006/relationships" name="Methodology" sheetId="18" r:id="R77f6965dbb1c4af8"/>
    <x:sheet xmlns:r="http://schemas.openxmlformats.org/officeDocument/2006/relationships" name="Report_Summary" sheetId="19" r:id="Rdf8f387eb29246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.00"/>
    <x:numFmt numFmtId="203" formatCode="0.0%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F1F1F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F4E7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6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7" borderId="0" xfId="0" applyNumberFormat="1" applyFont="1" applyFill="1" applyBorder="1" applyAlignment="1">
      <x:alignment horizontal="left" vertical="center" wrapText="1"/>
    </x:xf>
    <x:xf numFmtId="0" fontId="7" fillId="7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ff2a219364ad4" /><Relationship Type="http://schemas.openxmlformats.org/officeDocument/2006/relationships/theme" Target="/xl/theme/theme1.xml" Id="R5d0637c6c35549ab" /><Relationship Type="http://schemas.openxmlformats.org/officeDocument/2006/relationships/sharedStrings" Target="/xl/sharedStrings.xml" Id="R030d872153e14d2e" /><Relationship Type="http://schemas.openxmlformats.org/officeDocument/2006/relationships/worksheet" Target="/xl/worksheets/sheet1.xml" Id="R12f1b8c54d444d5e" /><Relationship Type="http://schemas.openxmlformats.org/officeDocument/2006/relationships/worksheet" Target="/xl/worksheets/sheet2.xml" Id="R7a0d9babda6246f8" /><Relationship Type="http://schemas.openxmlformats.org/officeDocument/2006/relationships/worksheet" Target="/xl/worksheets/sheet3.xml" Id="Rccdb02d4e4de4966" /><Relationship Type="http://schemas.openxmlformats.org/officeDocument/2006/relationships/worksheet" Target="/xl/worksheets/sheet4.xml" Id="R28f887c2e99640ce" /><Relationship Type="http://schemas.openxmlformats.org/officeDocument/2006/relationships/worksheet" Target="/xl/worksheets/sheet5.xml" Id="Rfda8f1fb218b4f9b" /><Relationship Type="http://schemas.openxmlformats.org/officeDocument/2006/relationships/worksheet" Target="/xl/worksheets/sheet6.xml" Id="R5295a525b6414cfa" /><Relationship Type="http://schemas.openxmlformats.org/officeDocument/2006/relationships/worksheet" Target="/xl/worksheets/sheet7.xml" Id="Rac3c3270492e44eb" /><Relationship Type="http://schemas.openxmlformats.org/officeDocument/2006/relationships/worksheet" Target="/xl/worksheets/sheet8.xml" Id="R31583acce22443fc" /><Relationship Type="http://schemas.openxmlformats.org/officeDocument/2006/relationships/worksheet" Target="/xl/worksheets/sheet9.xml" Id="R67ffd8e3ce3e446a" /><Relationship Type="http://schemas.openxmlformats.org/officeDocument/2006/relationships/worksheet" Target="/xl/worksheets/sheet10.xml" Id="Rb3457ff7c27048d8" /><Relationship Type="http://schemas.openxmlformats.org/officeDocument/2006/relationships/worksheet" Target="/xl/worksheets/sheet11.xml" Id="R44722a396a6743c3" /><Relationship Type="http://schemas.openxmlformats.org/officeDocument/2006/relationships/worksheet" Target="/xl/worksheets/sheet12.xml" Id="R4db9a4dbea904819" /><Relationship Type="http://schemas.openxmlformats.org/officeDocument/2006/relationships/worksheet" Target="/xl/worksheets/sheet13.xml" Id="R1751fc2d1e5345a7" /><Relationship Type="http://schemas.openxmlformats.org/officeDocument/2006/relationships/worksheet" Target="/xl/worksheets/sheet14.xml" Id="R6e7ee3d545ff43df" /><Relationship Type="http://schemas.openxmlformats.org/officeDocument/2006/relationships/worksheet" Target="/xl/worksheets/sheet15.xml" Id="R76a0105ffec845a1" /><Relationship Type="http://schemas.openxmlformats.org/officeDocument/2006/relationships/worksheet" Target="/xl/worksheets/sheet16.xml" Id="R8b811d8a24e84c1d" /><Relationship Type="http://schemas.openxmlformats.org/officeDocument/2006/relationships/worksheet" Target="/xl/worksheets/sheet17.xml" Id="Ra2fdcce62bdd489c" /><Relationship Type="http://schemas.openxmlformats.org/officeDocument/2006/relationships/worksheet" Target="/xl/worksheets/sheet18.xml" Id="R77f6965dbb1c4af8" /><Relationship Type="http://schemas.openxmlformats.org/officeDocument/2006/relationships/worksheet" Target="/xl/worksheets/sheet19.xml" Id="Rdf8f387eb29246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a279b838114882" /><Relationship Type="http://schemas.openxmlformats.org/officeDocument/2006/relationships/chart" Target="/xl/drawings/charts/chart2.xml" Id="Rf4bec9dac58f457d" /><Relationship Type="http://schemas.openxmlformats.org/officeDocument/2006/relationships/chart" Target="/xl/drawings/charts/chart3.xml" Id="Reef98f69e70d443c" /><Relationship Type="http://schemas.openxmlformats.org/officeDocument/2006/relationships/chart" Target="/xl/drawings/charts/chart4.xml" Id="R8210b6211a534f1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91808e8ed49644d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ebf25d62bc8b432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a6416f4a5b014ae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897769fe56d94ace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987bbf6dc7394350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23c05768b8324be3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84120161ecf44e07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f7daabe53aef4a06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f94bba44be624350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drawings/charts/chart14.xml" Id="R0fe398ec93594ba7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chart" Target="/xl/drawings/charts/chart15.xml" Id="Rdc82b5f9440a4e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rides by user type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Ride count</c:v>
          </c:tx>
          <c:cat>
            <c:strRef>
              <c:f>'Dashboard'!$P$2:$P$3</c:f>
              <c:strCache>
                <c:ptCount val="0"/>
              </c:strCache>
            </c:strRef>
          </c:cat>
          <c:val>
            <c:numRef>
              <c:f>'Dashboard'!$Q$2:$Q$3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ride volume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Ride count</c:v>
          </c:tx>
          <c:marker>
            <c:symbol val="none"/>
          </c:marker>
          <c:cat>
            <c:strRef>
              <c:f>'Dashboard'!$P$6:$P$17</c:f>
              <c:strCache>
                <c:ptCount val="0"/>
              </c:strCache>
            </c:strRef>
          </c:cat>
          <c:val>
            <c:numRef>
              <c:f>'Dashboard'!$Q$6:$Q$17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Ride volume by day and user type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Casual</c:v>
          </c:tx>
          <c:cat>
            <c:strRef>
              <c:f>'Dashboard'!$S$2:$S$8</c:f>
              <c:strCache>
                <c:ptCount val="0"/>
              </c:strCache>
            </c:strRef>
          </c:cat>
          <c:val>
            <c:numRef>
              <c:f>'Dashboard'!$T$2:$T$8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Member</c:v>
          </c:tx>
          <c:cat>
            <c:strRef>
              <c:f>'Dashboard'!$S$2:$S$8</c:f>
              <c:strCache>
                <c:ptCount val="0"/>
              </c:strCache>
            </c:strRef>
          </c:cat>
          <c:val>
            <c:numRef>
              <c:f>'Dashboard'!$U$2:$U$8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Hourly ride demand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Ride count</c:v>
          </c:tx>
          <c:marker>
            <c:symbol val="none"/>
          </c:marker>
          <c:cat>
            <c:strRef>
              <c:f>'Dashboard'!$W$2:$W$25</c:f>
              <c:strCache>
                <c:ptCount val="0"/>
              </c:strCache>
            </c:strRef>
          </c:cat>
          <c:val>
            <c:numRef>
              <c:f>'Dashboard'!$X$2:$X$25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rides by user type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All-trip count</c:v>
          </c:tx>
          <c:cat>
            <c:strRef>
              <c:f>'User_Type'!$A$4:$A$5</c:f>
              <c:strCache>
                <c:ptCount val="0"/>
              </c:strCache>
            </c:strRef>
          </c:cat>
          <c:val>
            <c:numRef>
              <c:f>'User_Type'!$B$4:$B$5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Ride count by day and user type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Casual</c:v>
          </c:tx>
          <c:cat>
            <c:strRef>
              <c:f>'Day_User'!$F$4:$F$10</c:f>
              <c:strCache>
                <c:ptCount val="0"/>
              </c:strCache>
            </c:strRef>
          </c:cat>
          <c:val>
            <c:numRef>
              <c:f>'Day_User'!$G$4:$G$10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Member</c:v>
          </c:tx>
          <c:cat>
            <c:strRef>
              <c:f>'Day_User'!$F$4:$F$10</c:f>
              <c:strCache>
                <c:ptCount val="0"/>
              </c:strCache>
            </c:strRef>
          </c:cat>
          <c:val>
            <c:numRef>
              <c:f>'Day_User'!$H$4:$H$10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ride volume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Ride count</c:v>
          </c:tx>
          <c:marker>
            <c:symbol val="none"/>
          </c:marker>
          <c:cat>
            <c:strRef>
              <c:f>'Month_Total'!$A$4:$A$15</c:f>
              <c:strCache>
                <c:ptCount val="0"/>
              </c:strCache>
            </c:strRef>
          </c:cat>
          <c:val>
            <c:numRef>
              <c:f>'Month_Total'!$B$4:$B$15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Hourly ride demand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Ride count</c:v>
          </c:tx>
          <c:marker>
            <c:symbol val="none"/>
          </c:marker>
          <c:cat>
            <c:strRef>
              <c:f>'Hour'!$A$4:$A$27</c:f>
              <c:strCache>
                <c:ptCount val="0"/>
              </c:strCache>
            </c:strRef>
          </c:cat>
          <c:val>
            <c:numRef>
              <c:f>'Hour'!$B$4:$B$27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Weekday vs weekend ride volume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Casual</c:v>
          </c:tx>
          <c:cat>
            <c:strRef>
              <c:f>'Weekday_Weekend'!$F$4:$F$5</c:f>
              <c:strCache>
                <c:ptCount val="0"/>
              </c:strCache>
            </c:strRef>
          </c:cat>
          <c:val>
            <c:numRef>
              <c:f>'Weekday_Weekend'!$G$4:$G$5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Member</c:v>
          </c:tx>
          <c:cat>
            <c:strRef>
              <c:f>'Weekday_Weekend'!$F$4:$F$5</c:f>
              <c:strCache>
                <c:ptCount val="0"/>
              </c:strCache>
            </c:strRef>
          </c:cat>
          <c:val>
            <c:numRef>
              <c:f>'Weekday_Weekend'!$H$4:$H$5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Rides by age group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Ride count</c:v>
          </c:tx>
          <c:cat>
            <c:strRef>
              <c:f>'Age'!$A$4:$A$10</c:f>
              <c:strCache>
                <c:ptCount val="0"/>
              </c:strCache>
            </c:strRef>
          </c:cat>
          <c:val>
            <c:numRef>
              <c:f>'Age'!$B$4:$B$10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Rides by gender and user type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Casual</c:v>
          </c:tx>
          <c:cat>
            <c:strRef>
              <c:f>'Gender_User'!$E$4:$E$6</c:f>
              <c:strCache>
                <c:ptCount val="0"/>
              </c:strCache>
            </c:strRef>
          </c:cat>
          <c:val>
            <c:numRef>
              <c:f>'Gender_User'!$F$4:$F$6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Member</c:v>
          </c:tx>
          <c:cat>
            <c:strRef>
              <c:f>'Gender_User'!$E$4:$E$6</c:f>
              <c:strCache>
                <c:ptCount val="0"/>
              </c:strCache>
            </c:strRef>
          </c:cat>
          <c:val>
            <c:numRef>
              <c:f>'Gender_User'!$G$4:$G$6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Ride-length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Ride count</c:v>
          </c:tx>
          <c:cat>
            <c:strRef>
              <c:f>'Ride_Length'!$A$4:$A$9</c:f>
              <c:strCache>
                <c:ptCount val="0"/>
              </c:strCache>
            </c:strRef>
          </c:cat>
          <c:val>
            <c:numRef>
              <c:f>'Ride_Length'!$B$4:$B$9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starting stations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Ride count</c:v>
          </c:tx>
          <c:cat>
            <c:strRef>
              <c:f>'Start_Stations'!$C$4:$C$13</c:f>
              <c:strCache>
                <c:ptCount val="0"/>
              </c:strCache>
            </c:strRef>
          </c:cat>
          <c:val>
            <c:numRef>
              <c:f>'Start_Stations'!$D$4:$D$13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ending stations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Ride count</c:v>
          </c:tx>
          <c:cat>
            <c:strRef>
              <c:f>'End_Stations'!$C$4:$C$13</c:f>
              <c:strCache>
                <c:ptCount val="0"/>
              </c:strCache>
            </c:strRef>
          </c:cat>
          <c:val>
            <c:numRef>
              <c:f>'End_Stations'!$D$4:$D$13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routes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 station</c:v>
          </c:tx>
          <c:cat>
            <c:strRef>
              <c:f>'Top_Routes'!$B$4:$B$13</c:f>
              <c:strCache>
                <c:ptCount val="0"/>
              </c:strCache>
            </c:strRef>
          </c:cat>
          <c:val>
            <c:numRef>
              <c:f>'Top_Routes'!$C$4:$C$13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Ride count</c:v>
          </c:tx>
          <c:cat>
            <c:strRef>
              <c:f>'Top_Routes'!$B$4:$B$13</c:f>
              <c:strCache>
                <c:ptCount val="0"/>
              </c:strCache>
            </c:strRef>
          </c:cat>
          <c:val>
            <c:numRef>
              <c:f>'Top_Routes'!$D$4:$D$13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a279b83811488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bec9dac58f457d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6</xdr:col>
      <xdr:colOff>0</xdr:colOff>
      <xdr:row>50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f98f69e70d443c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0b6211a534f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808e8ed49644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f25d62bc8b432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416f4a5b014ae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7769fe56d94ace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7bbf6dc7394350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c05768b8324be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120161ecf44e07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daabe53aef4a0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4bba44be624350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e398ec93594ba7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82b5f9440a4e5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Findings" displayName="DashboardFindings" ref="A10:C16" headerRowCount="1" totalsRowCount="0" totalsRowShown="0">
  <x:tableColumns count="3">
    <x:tableColumn id="1" name="Finding"/>
    <x:tableColumn id="2" name="Value"/>
    <x:tableColumn id="3" name="Report u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PI_Summary_Table" displayName="KPI_Summary_Table" ref="A3:D12" headerRowCount="1" totalsRowCount="0" totalsRowShown="0">
  <x:tableColumns count="4">
    <x:tableColumn id="1" name="Metric"/>
    <x:tableColumn id="2" name="Value"/>
    <x:tableColumn id="3" name="Unit"/>
    <x:tableColumn id="4" name="Contex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serTypeSummary" displayName="UserTypeSummary" ref="A3:E6" headerRowCount="1" totalsRowCount="0" totalsRowShown="0">
  <x:tableColumns count="5">
    <x:tableColumn id="1" name="Member/Casual"/>
    <x:tableColumn id="2" name="All-trip count"/>
    <x:tableColumn id="3" name="Valid-duration trips"/>
    <x:tableColumn id="4" name="Average ride length (min)"/>
    <x:tableColumn id="5" name="Share of all trip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yUserSummary" displayName="DayUserSummary" ref="A3:D17" headerRowCount="1" totalsRowCount="0" totalsRowShown="0">
  <x:tableColumns count="4">
    <x:tableColumn id="1" name="Day"/>
    <x:tableColumn id="2" name="User type"/>
    <x:tableColumn id="3" name="Ride count"/>
    <x:tableColumn id="4" name="Avg ride length (min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onthTotalSummary" displayName="MonthTotalSummary" ref="A3:C15" headerRowCount="1" totalsRowCount="0" totalsRowShown="0">
  <x:tableColumns count="3">
    <x:tableColumn id="1" name="Month"/>
    <x:tableColumn id="2" name="Ride count"/>
    <x:tableColumn id="3" name="Average ride length (min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nthUserSummary" displayName="MonthUserSummary" ref="A3:D27" headerRowCount="1" totalsRowCount="0" totalsRowShown="0">
  <x:tableColumns count="4">
    <x:tableColumn id="1" name="Month"/>
    <x:tableColumn id="2" name="User type"/>
    <x:tableColumn id="3" name="Ride count"/>
    <x:tableColumn id="4" name="Average ride length (min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QuarterSummary" displayName="QuarterSummary" ref="A3:C7" headerRowCount="1" totalsRowCount="0" totalsRowShown="0">
  <x:tableColumns count="3">
    <x:tableColumn id="1" name="Quarter"/>
    <x:tableColumn id="2" name="Ride count"/>
    <x:tableColumn id="3" name="Average ride length (min)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ourSummary" displayName="HourSummary" ref="A3:B27" headerRowCount="1" totalsRowCount="0" totalsRowShown="0">
  <x:tableColumns count="2">
    <x:tableColumn id="1" name="Hour"/>
    <x:tableColumn id="2" name="Ride cou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ourUserSummary" displayName="HourUserSummary" ref="A3:C51" headerRowCount="1" totalsRowCount="0" totalsRowShown="0">
  <x:tableColumns count="3">
    <x:tableColumn id="1" name="hour"/>
    <x:tableColumn id="2" name="member_casual"/>
    <x:tableColumn id="3" name="ride_c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WeekendSummary" displayName="WeekendSummary" ref="A3:D7" headerRowCount="1" totalsRowCount="0" totalsRowShown="0">
  <x:tableColumns count="4">
    <x:tableColumn id="1" name="Day type"/>
    <x:tableColumn id="2" name="User type"/>
    <x:tableColumn id="3" name="Ride count"/>
    <x:tableColumn id="4" name="Average ride length (min)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geSummary" displayName="AgeSummary" ref="A3:B10" headerRowCount="1" totalsRowCount="0" totalsRowShown="0">
  <x:tableColumns count="2">
    <x:tableColumn id="1" name="Age group"/>
    <x:tableColumn id="2" name="Ride c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geUserSummary" displayName="AgeUserSummary" ref="A3:D15" headerRowCount="1" totalsRowCount="0" totalsRowShown="0">
  <x:tableColumns count="4">
    <x:tableColumn id="1" name="Age group"/>
    <x:tableColumn id="2" name="User type"/>
    <x:tableColumn id="3" name="Ride count"/>
    <x:tableColumn id="4" name="Average ride length (min)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GenderUserSummary" displayName="GenderUserSummary" ref="A3:C9" headerRowCount="1" totalsRowCount="0" totalsRowShown="0">
  <x:tableColumns count="3">
    <x:tableColumn id="1" name="Gender"/>
    <x:tableColumn id="2" name="User type"/>
    <x:tableColumn id="3" name="Ride c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ideLengthSummary" displayName="RideLengthSummary" ref="A3:C10" headerRowCount="1" totalsRowCount="0" totalsRowShown="0">
  <x:tableColumns count="3">
    <x:tableColumn id="1" name="Ride length group"/>
    <x:tableColumn id="2" name="Ride count"/>
    <x:tableColumn id="3" name="Share of valid-duration rid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tartStationSummary" displayName="StartStationSummary" ref="A3:D13" headerRowCount="1" totalsRowCount="0" totalsRowShown="0">
  <x:tableColumns count="4">
    <x:tableColumn id="1" name="Rank"/>
    <x:tableColumn id="2" name="Station ID"/>
    <x:tableColumn id="3" name="Station name"/>
    <x:tableColumn id="4" name="Ride coun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EndStationSummary" displayName="EndStationSummary" ref="A3:D13" headerRowCount="1" totalsRowCount="0" totalsRowShown="0">
  <x:tableColumns count="4">
    <x:tableColumn id="1" name="Rank"/>
    <x:tableColumn id="2" name="Station ID"/>
    <x:tableColumn id="3" name="Station name"/>
    <x:tableColumn id="4" name="Ride count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RouteSummary" displayName="RouteSummary" ref="A3:D13" headerRowCount="1" totalsRowCount="0" totalsRowShown="0">
  <x:tableColumns count="4">
    <x:tableColumn id="1" name="Rank"/>
    <x:tableColumn id="2" name="From station"/>
    <x:tableColumn id="3" name="To station"/>
    <x:tableColumn id="4" name="Ride 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c477f9481046d2" /><Relationship Type="http://schemas.openxmlformats.org/officeDocument/2006/relationships/table" Target="/xl/tables/table1.xml" Id="R9678620cd36540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db277cb8c54c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a4b8841fea640d4" /><Relationship Type="http://schemas.openxmlformats.org/officeDocument/2006/relationships/table" Target="/xl/tables/table3.xml" Id="Rd9d702fe62b942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1d89c99ddb0c4a83" /><Relationship Type="http://schemas.openxmlformats.org/officeDocument/2006/relationships/table" Target="/xl/tables/table4.xml" Id="Ra4ebf3774f254f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a88e87b605304204" /><Relationship Type="http://schemas.openxmlformats.org/officeDocument/2006/relationships/table" Target="/xl/tables/table5.xml" Id="R6528bcb7580e48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33c534d0fa64d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8905f053c3947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1184ab673c32477f" /><Relationship Type="http://schemas.openxmlformats.org/officeDocument/2006/relationships/table" Target="/xl/tables/table8.xml" Id="Re9b86ab6a74742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2c3aaef10d3487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6.xml" Id="R6815a313a99b4745" /><Relationship Type="http://schemas.openxmlformats.org/officeDocument/2006/relationships/table" Target="/xl/tables/table10.xml" Id="Ra4a26640d28940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7.xml" Id="Rf990bf595063488a" /><Relationship Type="http://schemas.openxmlformats.org/officeDocument/2006/relationships/table" Target="/xl/tables/table11.xml" Id="R559b5c83952b48a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8d472f7f24b48b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8.xml" Id="R91353631d80a4b01" /><Relationship Type="http://schemas.openxmlformats.org/officeDocument/2006/relationships/table" Target="/xl/tables/table13.xml" Id="R1c7b48ac0c754fa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9.xml" Id="R9cba237ea368409e" /><Relationship Type="http://schemas.openxmlformats.org/officeDocument/2006/relationships/table" Target="/xl/tables/table14.xml" Id="R175268235b6548e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0.xml" Id="R1cc5382d981246ba" /><Relationship Type="http://schemas.openxmlformats.org/officeDocument/2006/relationships/table" Target="/xl/tables/table15.xml" Id="Rf5514bf7d09540e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1.xml" Id="Rb6a61a79e82c4cdb" /><Relationship Type="http://schemas.openxmlformats.org/officeDocument/2006/relationships/table" Target="/xl/tables/table16.xml" Id="R18bbb6e115c7498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2.xml" Id="Rc6a108a8c29c49d6" /><Relationship Type="http://schemas.openxmlformats.org/officeDocument/2006/relationships/table" Target="/xl/tables/table17.xml" Id="R0b458b46597f4a9d" /></Relationships>
</file>

<file path=xl/worksheets/sheet1.xml><?xml version="1.0" encoding="utf-8"?>
<x:worksheet xmlns:x="http://schemas.openxmlformats.org/spreadsheetml/2006/main">
  <x:sheetFormatPr defaultRowHeight="15"/>
  <x:cols>
    <x:col min="16" max="16" width="12" hidden="0" customWidth="1"/>
    <x:col min="17" max="17" width="12" hidden="0" customWidth="1"/>
    <x:col min="18" max="18" width="13" hidden="0" customWidth="1"/>
    <x:col min="19" max="19" width="12" hidden="0" customWidth="1"/>
    <x:col min="20" max="20" width="12" hidden="0" customWidth="1"/>
    <x:col min="21" max="21" width="12" hidden="0" customWidth="1"/>
    <x:col min="22" max="22" width="13" hidden="0" customWidth="1"/>
    <x:col min="23" max="23" width="12" hidden="0" customWidth="1"/>
    <x:col min="24" max="24" width="12" hidden="0" customWidth="1"/>
    <x:col min="1" max="1" width="24" hidden="0" customWidth="1"/>
    <x:col min="2" max="2" width="18" hidden="0" customWidth="1"/>
    <x:col min="3" max="3" width="20" hidden="0" customWidth="1"/>
  </x:cols>
  <x:sheetData>
    <x:row r="1">
      <x:c r="A1" s="5" t="str">
        <x:v>Cyclistic 2019 Bike-Share Analysis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46"/>
      <x:c r="P1" s="46" t="str">
        <x:v>User type</x:v>
      </x:c>
      <x:c r="Q1" s="46" t="str">
        <x:v>Ride count</x:v>
      </x:c>
      <x:c r="R1" s="46"/>
      <x:c r="S1" s="46" t="str">
        <x:v>Day</x:v>
      </x:c>
      <x:c r="T1" s="46" t="str">
        <x:v>Casual</x:v>
      </x:c>
      <x:c r="U1" s="46" t="str">
        <x:v>Member</x:v>
      </x:c>
      <x:c r="V1" s="46"/>
      <x:c r="W1" s="46" t="str">
        <x:v>Hour</x:v>
      </x:c>
      <x:c r="X1" s="46" t="str">
        <x:v>Ride count</x:v>
      </x:c>
      <x:c r="Y1" s="46"/>
      <x:c r="Z1" s="46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46"/>
      <x:c r="P2" s="46" t="str">
        <x:v>Casual</x:v>
      </x:c>
      <x:c r="Q2" s="46" t="n">
        <x:v>880637</x:v>
      </x:c>
      <x:c r="R2" s="46"/>
      <x:c r="S2" s="46" t="str">
        <x:v>Monday</x:v>
      </x:c>
      <x:c r="T2" s="46" t="n">
        <x:v>101356</x:v>
      </x:c>
      <x:c r="U2" s="46" t="n">
        <x:v>458714</x:v>
      </x:c>
      <x:c r="V2" s="46"/>
      <x:c r="W2" s="46" t="n">
        <x:v>0</x:v>
      </x:c>
      <x:c r="X2" s="46" t="n">
        <x:v>24078</x:v>
      </x:c>
      <x:c r="Y2" s="46"/>
      <x:c r="Z2" s="46"/>
    </x:row>
    <x:row r="3">
      <x:c r="A3" s="13" t="str">
        <x:v>Business question: How do annual members and casual riders use Cyclistic bikes differently?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46"/>
      <x:c r="P3" s="46" t="str">
        <x:v>Member</x:v>
      </x:c>
      <x:c r="Q3" s="46" t="n">
        <x:v>2937367</x:v>
      </x:c>
      <x:c r="R3" s="46"/>
      <x:c r="S3" s="46" t="str">
        <x:v>Tuesday</x:v>
      </x:c>
      <x:c r="T3" s="46" t="n">
        <x:v>88495</x:v>
      </x:c>
      <x:c r="U3" s="46" t="n">
        <x:v>496951</x:v>
      </x:c>
      <x:c r="V3" s="46"/>
      <x:c r="W3" s="46" t="n">
        <x:v>1</x:v>
      </x:c>
      <x:c r="X3" s="46" t="n">
        <x:v>14417</x:v>
      </x:c>
      <x:c r="Y3" s="46"/>
      <x:c r="Z3" s="46"/>
    </x:row>
    <x:row r="4">
      <x:c r="A4" s="46"/>
      <x:c r="B4" s="46"/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 t="str">
        <x:v>Wednesday</x:v>
      </x:c>
      <x:c r="T4" s="46" t="n">
        <x:v>89601</x:v>
      </x:c>
      <x:c r="U4" s="46" t="n">
        <x:v>494205</x:v>
      </x:c>
      <x:c r="V4" s="46"/>
      <x:c r="W4" s="46" t="n">
        <x:v>2</x:v>
      </x:c>
      <x:c r="X4" s="46" t="n">
        <x:v>8664</x:v>
      </x:c>
      <x:c r="Y4" s="46"/>
      <x:c r="Z4" s="46"/>
    </x:row>
    <x:row r="5">
      <x:c r="A5" s="22" t="str">
        <x:v>Total trips
3,818,004
all trips</x:v>
      </x:c>
      <x:c r="B5" s="22"/>
      <x:c r="C5" s="22"/>
      <x:c r="D5" s="22" t="str">
        <x:v>Mean ride length
19.03 min
valid-duration rides</x:v>
      </x:c>
      <x:c r="E5" s="22"/>
      <x:c r="F5" s="22"/>
      <x:c r="G5" s="22" t="str">
        <x:v>Member rides
2,937,367
76.93% of all trips</x:v>
      </x:c>
      <x:c r="H5" s="22"/>
      <x:c r="I5" s="22"/>
      <x:c r="J5" s="22" t="str">
        <x:v>Casual rides
880,637
23.07% of all trips</x:v>
      </x:c>
      <x:c r="K5" s="22"/>
      <x:c r="L5" s="22"/>
      <x:c r="M5" s="22" t="str">
        <x:v>Peak hour
17:00
475,154 trips</x:v>
      </x:c>
      <x:c r="N5" s="22"/>
      <x:c r="O5" s="46"/>
      <x:c r="P5" s="46" t="str">
        <x:v>Month</x:v>
      </x:c>
      <x:c r="Q5" s="46" t="str">
        <x:v>Ride count</x:v>
      </x:c>
      <x:c r="R5" s="46" t="str">
        <x:v>Average ride length (min)</x:v>
      </x:c>
      <x:c r="S5" s="46" t="str">
        <x:v>Thursday</x:v>
      </x:c>
      <x:c r="T5" s="46" t="n">
        <x:v>101203</x:v>
      </x:c>
      <x:c r="U5" s="46" t="n">
        <x:v>486837</x:v>
      </x:c>
      <x:c r="V5" s="46"/>
      <x:c r="W5" s="46" t="n">
        <x:v>3</x:v>
      </x:c>
      <x:c r="X5" s="46" t="n">
        <x:v>5611</x:v>
      </x:c>
      <x:c r="Y5" s="46"/>
      <x:c r="Z5" s="46"/>
    </x:row>
    <x:row r="6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46"/>
      <x:c r="P6" s="46" t="n">
        <x:v>1</x:v>
      </x:c>
      <x:c r="Q6" s="46" t="n">
        <x:v>103272</x:v>
      </x:c>
      <x:c r="R6" s="46" t="n">
        <x:v>12.44</x:v>
      </x:c>
      <x:c r="S6" s="46" t="str">
        <x:v>Friday</x:v>
      </x:c>
      <x:c r="T6" s="46" t="n">
        <x:v>120934</x:v>
      </x:c>
      <x:c r="U6" s="46" t="n">
        <x:v>456890</x:v>
      </x:c>
      <x:c r="V6" s="46"/>
      <x:c r="W6" s="46" t="n">
        <x:v>4</x:v>
      </x:c>
      <x:c r="X6" s="46" t="n">
        <x:v>7789</x:v>
      </x:c>
      <x:c r="Y6" s="46"/>
      <x:c r="Z6" s="46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46"/>
      <x:c r="P7" s="46" t="n">
        <x:v>2</x:v>
      </x:c>
      <x:c r="Q7" s="46" t="n">
        <x:v>96186</x:v>
      </x:c>
      <x:c r="R7" s="46" t="n">
        <x:v>11.72</x:v>
      </x:c>
      <x:c r="S7" s="46" t="str">
        <x:v>Saturday</x:v>
      </x:c>
      <x:c r="T7" s="46" t="n">
        <x:v>207760</x:v>
      </x:c>
      <x:c r="U7" s="46" t="n">
        <x:v>287078</x:v>
      </x:c>
      <x:c r="V7" s="46"/>
      <x:c r="W7" s="46" t="n">
        <x:v>5</x:v>
      </x:c>
      <x:c r="X7" s="46" t="n">
        <x:v>35770</x:v>
      </x:c>
      <x:c r="Y7" s="46"/>
      <x:c r="Z7" s="46"/>
    </x:row>
    <x:row r="8">
      <x:c r="A8" s="46"/>
      <x:c r="B8" s="46"/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 t="n">
        <x:v>3</x:v>
      </x:c>
      <x:c r="Q8" s="46" t="n">
        <x:v>165611</x:v>
      </x:c>
      <x:c r="R8" s="46" t="n">
        <x:v>13.71</x:v>
      </x:c>
      <x:c r="S8" s="46" t="str">
        <x:v>Sunday</x:v>
      </x:c>
      <x:c r="T8" s="46" t="n">
        <x:v>169941</x:v>
      </x:c>
      <x:c r="U8" s="46" t="n">
        <x:v>256191</x:v>
      </x:c>
      <x:c r="V8" s="46"/>
      <x:c r="W8" s="46" t="n">
        <x:v>6</x:v>
      </x:c>
      <x:c r="X8" s="46" t="n">
        <x:v>108232</x:v>
      </x:c>
      <x:c r="Y8" s="46"/>
      <x:c r="Z8" s="46"/>
    </x:row>
    <x:row r="9">
      <x:c r="A9" s="82" t="str">
        <x:v>Key findings</x:v>
      </x:c>
      <x:c r="B9" s="80"/>
      <x:c r="C9" s="80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 t="n">
        <x:v>4</x:v>
      </x:c>
      <x:c r="Q9" s="46" t="n">
        <x:v>265310</x:v>
      </x:c>
      <x:c r="R9" s="46" t="n">
        <x:v>17.57</x:v>
      </x:c>
      <x:c r="S9" s="46"/>
      <x:c r="T9" s="46"/>
      <x:c r="U9" s="46"/>
      <x:c r="V9" s="46"/>
      <x:c r="W9" s="46" t="n">
        <x:v>7</x:v>
      </x:c>
      <x:c r="X9" s="46" t="n">
        <x:v>237708</x:v>
      </x:c>
      <x:c r="Y9" s="46"/>
      <x:c r="Z9" s="46"/>
    </x:row>
    <x:row r="10" ht="24" customHeight="1">
      <x:c r="A10" s="36" t="str">
        <x:v>Finding</x:v>
      </x:c>
      <x:c r="B10" s="36" t="str">
        <x:v>Value</x:v>
      </x:c>
      <x:c r="C10" s="36" t="str">
        <x:v>Report use</x:v>
      </x:c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 t="n">
        <x:v>5</x:v>
      </x:c>
      <x:c r="Q10" s="46" t="n">
        <x:v>367458</x:v>
      </x:c>
      <x:c r="R10" s="46" t="n">
        <x:v>19.53</x:v>
      </x:c>
      <x:c r="S10" s="46"/>
      <x:c r="T10" s="46"/>
      <x:c r="U10" s="46"/>
      <x:c r="V10" s="46"/>
      <x:c r="W10" s="46" t="n">
        <x:v>8</x:v>
      </x:c>
      <x:c r="X10" s="46" t="n">
        <x:v>305780</x:v>
      </x:c>
      <x:c r="Y10" s="46"/>
      <x:c r="Z10" s="46"/>
    </x:row>
    <x:row r="11" ht="24" customHeight="1">
      <x:c r="A11" s="48" t="str">
        <x:v>Casual avg ride length</x:v>
      </x:c>
      <x:c r="B11" s="48" t="n">
        <x:v>39.43</x:v>
      </x:c>
      <x:c r="C11" s="48" t="str">
        <x:v>User behavior</x:v>
      </x:c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 t="n">
        <x:v>6</x:v>
      </x:c>
      <x:c r="Q11" s="46" t="n">
        <x:v>475395</x:v>
      </x:c>
      <x:c r="R11" s="46" t="n">
        <x:v>21.26</x:v>
      </x:c>
      <x:c r="S11" s="46"/>
      <x:c r="T11" s="46"/>
      <x:c r="U11" s="46"/>
      <x:c r="V11" s="46"/>
      <x:c r="W11" s="46" t="n">
        <x:v>9</x:v>
      </x:c>
      <x:c r="X11" s="46" t="n">
        <x:v>163833</x:v>
      </x:c>
      <x:c r="Y11" s="46"/>
      <x:c r="Z11" s="46"/>
    </x:row>
    <x:row r="12" ht="24" customHeight="1">
      <x:c r="A12" s="48" t="str">
        <x:v>Member avg ride length</x:v>
      </x:c>
      <x:c r="B12" s="48" t="n">
        <x:v>12.93</x:v>
      </x:c>
      <x:c r="C12" s="48" t="str">
        <x:v>User behavior</x:v>
      </x:c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 t="n">
        <x:v>7</x:v>
      </x:c>
      <x:c r="Q12" s="46" t="n">
        <x:v>557315</x:v>
      </x:c>
      <x:c r="R12" s="46" t="n">
        <x:v>22.62</x:v>
      </x:c>
      <x:c r="S12" s="46"/>
      <x:c r="T12" s="46"/>
      <x:c r="U12" s="46"/>
      <x:c r="V12" s="46"/>
      <x:c r="W12" s="46" t="n">
        <x:v>10</x:v>
      </x:c>
      <x:c r="X12" s="46" t="n">
        <x:v>145464</x:v>
      </x:c>
      <x:c r="Y12" s="46"/>
      <x:c r="Z12" s="46"/>
    </x:row>
    <x:row r="13" ht="24" customHeight="1">
      <x:c r="A13" s="48" t="str">
        <x:v>Peak month</x:v>
      </x:c>
      <x:c r="B13" s="48" t="str">
        <x:v>August</x:v>
      </x:c>
      <x:c r="C13" s="48" t="str">
        <x:v>Seasonality</x:v>
      </x:c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 t="n">
        <x:v>8</x:v>
      </x:c>
      <x:c r="Q13" s="46" t="n">
        <x:v>590184</x:v>
      </x:c>
      <x:c r="R13" s="46" t="n">
        <x:v>22.18</x:v>
      </x:c>
      <x:c r="S13" s="46"/>
      <x:c r="T13" s="46"/>
      <x:c r="U13" s="46"/>
      <x:c r="V13" s="46"/>
      <x:c r="W13" s="46" t="n">
        <x:v>11</x:v>
      </x:c>
      <x:c r="X13" s="46" t="n">
        <x:v>179966</x:v>
      </x:c>
      <x:c r="Y13" s="46"/>
      <x:c r="Z13" s="46"/>
    </x:row>
    <x:row r="14" ht="24" customHeight="1">
      <x:c r="A14" s="48" t="str">
        <x:v>Peak quarter</x:v>
      </x:c>
      <x:c r="B14" s="48" t="str">
        <x:v>Q3</x:v>
      </x:c>
      <x:c r="C14" s="48" t="str">
        <x:v>Seasonality</x:v>
      </x:c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 t="n">
        <x:v>9</x:v>
      </x:c>
      <x:c r="Q14" s="46" t="n">
        <x:v>493219</x:v>
      </x:c>
      <x:c r="R14" s="46" t="n">
        <x:v>19.63</x:v>
      </x:c>
      <x:c r="S14" s="46"/>
      <x:c r="T14" s="46"/>
      <x:c r="U14" s="46"/>
      <x:c r="V14" s="46"/>
      <x:c r="W14" s="46" t="n">
        <x:v>12</x:v>
      </x:c>
      <x:c r="X14" s="46" t="n">
        <x:v>206267</x:v>
      </x:c>
      <x:c r="Y14" s="46"/>
      <x:c r="Z14" s="46"/>
    </x:row>
    <x:row r="15" ht="24" customHeight="1">
      <x:c r="A15" s="48" t="str">
        <x:v>Mode day</x:v>
      </x:c>
      <x:c r="B15" s="48" t="str">
        <x:v>Thursday</x:v>
      </x:c>
      <x:c r="C15" s="48" t="str">
        <x:v>Weekly pattern</x:v>
      </x:c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 t="n">
        <x:v>10</x:v>
      </x:c>
      <x:c r="Q15" s="46" t="n">
        <x:v>371786</x:v>
      </x:c>
      <x:c r="R15" s="46" t="n">
        <x:v>16.47</x:v>
      </x:c>
      <x:c r="S15" s="46"/>
      <x:c r="T15" s="46"/>
      <x:c r="U15" s="46"/>
      <x:c r="V15" s="46"/>
      <x:c r="W15" s="46" t="n">
        <x:v>13</x:v>
      </x:c>
      <x:c r="X15" s="46" t="n">
        <x:v>207125</x:v>
      </x:c>
      <x:c r="Y15" s="46"/>
      <x:c r="Z15" s="46"/>
    </x:row>
    <x:row r="16" ht="24" customHeight="1">
      <x:c r="A16" s="48" t="str">
        <x:v>Rides under 20 min</x:v>
      </x:c>
      <x:c r="B16" s="48" t="str">
        <x:v>72.56%</x:v>
      </x:c>
      <x:c r="C16" s="48" t="str">
        <x:v>Ride-length distribution</x:v>
      </x:c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 t="n">
        <x:v>11</x:v>
      </x:c>
      <x:c r="Q16" s="46" t="n">
        <x:v>177176</x:v>
      </x:c>
      <x:c r="R16" s="46" t="n">
        <x:v>13.54</x:v>
      </x:c>
      <x:c r="S16" s="46"/>
      <x:c r="T16" s="46"/>
      <x:c r="U16" s="46"/>
      <x:c r="V16" s="46"/>
      <x:c r="W16" s="46" t="n">
        <x:v>14</x:v>
      </x:c>
      <x:c r="X16" s="46" t="n">
        <x:v>206385</x:v>
      </x:c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 t="n">
        <x:v>12</x:v>
      </x:c>
      <x:c r="Q17" s="46" t="n">
        <x:v>155092</x:v>
      </x:c>
      <x:c r="R17" s="46" t="n">
        <x:v>13.79</x:v>
      </x:c>
      <x:c r="S17" s="46"/>
      <x:c r="T17" s="46"/>
      <x:c r="U17" s="46"/>
      <x:c r="V17" s="46"/>
      <x:c r="W17" s="46" t="n">
        <x:v>15</x:v>
      </x:c>
      <x:c r="X17" s="46" t="n">
        <x:v>243440</x:v>
      </x:c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 t="n">
        <x:v>16</x:v>
      </x:c>
      <x:c r="X18" s="46" t="n">
        <x:v>375778</x:v>
      </x:c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 t="n">
        <x:v>17</x:v>
      </x:c>
      <x:c r="X19" s="46" t="n">
        <x:v>475154</x:v>
      </x:c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 t="n">
        <x:v>18</x:v>
      </x:c>
      <x:c r="X20" s="46" t="n">
        <x:v>315253</x:v>
      </x:c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 t="n">
        <x:v>19</x:v>
      </x:c>
      <x:c r="X21" s="46" t="n">
        <x:v>208760</x:v>
      </x:c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 t="n">
        <x:v>20</x:v>
      </x:c>
      <x:c r="X22" s="46" t="n">
        <x:v>134160</x:v>
      </x:c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 t="n">
        <x:v>21</x:v>
      </x:c>
      <x:c r="X23" s="46" t="n">
        <x:v>96193</x:v>
      </x:c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 t="n">
        <x:v>22</x:v>
      </x:c>
      <x:c r="X24" s="46" t="n">
        <x:v>69701</x:v>
      </x:c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 t="n">
        <x:v>23</x:v>
      </x:c>
      <x:c r="X25" s="46" t="n">
        <x:v>42476</x:v>
      </x:c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N2"/>
    <x:mergeCell ref="A3:N3"/>
    <x:mergeCell ref="A5:C7"/>
    <x:mergeCell ref="D5:F7"/>
    <x:mergeCell ref="G5:I7"/>
    <x:mergeCell ref="J5:L7"/>
    <x:mergeCell ref="M5:N7"/>
    <x:mergeCell ref="A9:C9"/>
  </x:mergeCells>
  <x:pageMargins left="0.7" right="0.7" top="0.75" bottom="0.75" header="0.3" footer="0.3"/>
  <x:drawing xmlns:r="http://schemas.openxmlformats.org/officeDocument/2006/relationships" r:id="R56c477f9481046d2"/>
  <x:tableParts count="1">
    <x:tablePart xmlns:r="http://schemas.openxmlformats.org/officeDocument/2006/relationships" r:id="R9678620cd365403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55" hidden="0" customWidth="1"/>
  </x:cols>
  <x:sheetData>
    <x:row r="1">
      <x:c r="A1" s="5" t="str">
        <x:v>KPI &amp; data-quality summary</x:v>
      </x:c>
      <x:c r="B1" s="5"/>
      <x:c r="C1" s="5"/>
      <x:c r="D1" s="5"/>
      <x:c r="E1" s="5"/>
      <x:c r="F1" s="5"/>
      <x:c r="G1" s="5"/>
      <x:c r="H1" s="5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36" t="str">
        <x:v>Metric</x:v>
      </x:c>
      <x:c r="B3" s="36" t="str">
        <x:v>Value</x:v>
      </x:c>
      <x:c r="C3" s="36" t="str">
        <x:v>Unit</x:v>
      </x:c>
      <x:c r="D3" s="36" t="str">
        <x:v>Context</x:v>
      </x:c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8" t="str">
        <x:v>Total trips</x:v>
      </x:c>
      <x:c r="B4" s="48" t="n">
        <x:v>3818004</x:v>
      </x:c>
      <x:c r="C4" s="48" t="str">
        <x:v>trips</x:v>
      </x:c>
      <x:c r="D4" s="48" t="str">
        <x:v>All 2019 trips</x:v>
      </x:c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8" t="str">
        <x:v>Trips with valid ride length</x:v>
      </x:c>
      <x:c r="B5" s="48" t="n">
        <x:v>3816156</x:v>
      </x:c>
      <x:c r="C5" s="48" t="str">
        <x:v>trips</x:v>
      </x:c>
      <x:c r="D5" s="48" t="str">
        <x:v>Ride length &lt;= 24 hours</x:v>
      </x:c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8" t="str">
        <x:v>Mean ride length</x:v>
      </x:c>
      <x:c r="B6" s="48" t="n">
        <x:v>19.03</x:v>
      </x:c>
      <x:c r="C6" s="48" t="str">
        <x:v>minutes</x:v>
      </x:c>
      <x:c r="D6" s="48" t="str">
        <x:v>Valid ride-length trips</x:v>
      </x:c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8" t="str">
        <x:v>Maximum analytical ride length</x:v>
      </x:c>
      <x:c r="B7" s="48" t="n">
        <x:v>1440</x:v>
      </x:c>
      <x:c r="C7" s="48" t="str">
        <x:v>minutes</x:v>
      </x:c>
      <x:c r="D7" s="48" t="str">
        <x:v>24-hour cleaning threshold</x:v>
      </x:c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8" t="str">
        <x:v>Trips over 24 hours</x:v>
      </x:c>
      <x:c r="B8" s="48" t="n">
        <x:v>1848</x:v>
      </x:c>
      <x:c r="C8" s="48" t="str">
        <x:v>trips</x:v>
      </x:c>
      <x:c r="D8" s="48" t="str">
        <x:v>0.05% of all trips; excluded from ride-length metrics</x:v>
      </x:c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8" t="str">
        <x:v>Peak hour</x:v>
      </x:c>
      <x:c r="B9" s="48" t="n">
        <x:v>17</x:v>
      </x:c>
      <x:c r="C9" s="48" t="str">
        <x:v>hour</x:v>
      </x:c>
      <x:c r="D9" s="48" t="str">
        <x:v>17:00 had 475,154 trips</x:v>
      </x:c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8" t="str">
        <x:v>Peak month</x:v>
      </x:c>
      <x:c r="B10" s="48" t="str">
        <x:v>August</x:v>
      </x:c>
      <x:c r="C10" s="48" t="str">
        <x:v>month</x:v>
      </x:c>
      <x:c r="D10" s="48" t="str">
        <x:v>590,184 trips</x:v>
      </x:c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8" t="str">
        <x:v>Peak quarter</x:v>
      </x:c>
      <x:c r="B11" s="48" t="str">
        <x:v>Q3</x:v>
      </x:c>
      <x:c r="C11" s="48" t="str">
        <x:v>quarter</x:v>
      </x:c>
      <x:c r="D11" s="48" t="str">
        <x:v>1,640,718 trips</x:v>
      </x:c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8" t="str">
        <x:v>Mode day</x:v>
      </x:c>
      <x:c r="B12" s="48" t="str">
        <x:v>Thursday</x:v>
      </x:c>
      <x:c r="C12" s="48" t="str">
        <x:v>day</x:v>
      </x:c>
      <x:c r="D12" s="48" t="str">
        <x:v>588,287 trips</x:v>
      </x:c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9db277cb8c54c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4" hidden="0" customWidth="1"/>
    <x:col min="5" max="5" width="20" hidden="0" customWidth="1"/>
  </x:cols>
  <x:sheetData>
    <x:row r="1">
      <x:c r="A1" s="5" t="str">
        <x:v>Member vs Casual summary</x:v>
      </x:c>
      <x:c r="B1" s="5"/>
      <x:c r="C1" s="5"/>
      <x:c r="D1" s="5"/>
      <x:c r="E1" s="5"/>
      <x:c r="F1" s="5"/>
      <x:c r="G1" s="5"/>
      <x:c r="H1" s="5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36" t="str">
        <x:v>Member/Casual</x:v>
      </x:c>
      <x:c r="B3" s="36" t="str">
        <x:v>All-trip count</x:v>
      </x:c>
      <x:c r="C3" s="36" t="str">
        <x:v>Valid-duration trips</x:v>
      </x:c>
      <x:c r="D3" s="36" t="str">
        <x:v>Average ride length (min)</x:v>
      </x:c>
      <x:c r="E3" s="36" t="str">
        <x:v>Share of all trips</x:v>
      </x:c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8" t="str">
        <x:v>Casual</x:v>
      </x:c>
      <x:c r="B4" s="50" t="n">
        <x:v>880637</x:v>
      </x:c>
      <x:c r="C4" s="50" t="n">
        <x:v>879290</x:v>
      </x:c>
      <x:c r="D4" s="51" t="n">
        <x:v>39.43</x:v>
      </x:c>
      <x:c r="E4" s="57" t="n">
        <x:f>B4/SUM($B$4:$B$5)</x:f>
        <x:v>0.23065376568489712</x:v>
      </x:c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8" t="str">
        <x:v>Member</x:v>
      </x:c>
      <x:c r="B5" s="50" t="n">
        <x:v>2937367</x:v>
      </x:c>
      <x:c r="C5" s="50" t="n">
        <x:v>2936866</x:v>
      </x:c>
      <x:c r="D5" s="51" t="n">
        <x:v>12.93</x:v>
      </x:c>
      <x:c r="E5" s="57" t="n">
        <x:f>B5/SUM($B$4:$B$5)</x:f>
        <x:v>0.7693462343151029</x:v>
      </x:c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8" t="str">
        <x:v>Total</x:v>
      </x:c>
      <x:c r="B6" s="50" t="n">
        <x:f>SUM(B4:B5)</x:f>
        <x:v>3818004</x:v>
      </x:c>
      <x:c r="C6" s="50" t="n">
        <x:f>SUM(C4:C5)</x:f>
        <x:v>3816156</x:v>
      </x:c>
      <x:c r="D6" s="48"/>
      <x:c r="E6" s="57" t="n">
        <x:f>SUM(E4:E5)</x:f>
        <x:v>1</x:v>
      </x:c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6"/>
      <x:c r="B7" s="46"/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6"/>
      <x:c r="B8" s="46"/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6"/>
      <x:c r="B9" s="46"/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/>
      <x:c r="B11" s="46"/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a4b8841fea640d4"/>
  <x:tableParts count="1">
    <x:tablePart xmlns:r="http://schemas.openxmlformats.org/officeDocument/2006/relationships" r:id="Rd9d702fe62b942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5" hidden="0" customWidth="1"/>
    <x:col min="4" max="4" width="24" hidden="0" customWidth="1"/>
  </x:cols>
  <x:sheetData>
    <x:row r="1">
      <x:c r="A1" s="5" t="str">
        <x:v>Day of week by user type</x:v>
      </x:c>
      <x:c r="B1" s="5"/>
      <x:c r="C1" s="5"/>
      <x:c r="D1" s="5"/>
      <x:c r="E1" s="5"/>
      <x:c r="F1" s="5"/>
      <x:c r="G1" s="5"/>
      <x:c r="H1" s="5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36" t="str">
        <x:v>Day</x:v>
      </x:c>
      <x:c r="B3" s="36" t="str">
        <x:v>User type</x:v>
      </x:c>
      <x:c r="C3" s="36" t="str">
        <x:v>Ride count</x:v>
      </x:c>
      <x:c r="D3" s="36" t="str">
        <x:v>Avg ride length (min)</x:v>
      </x:c>
      <x:c r="E3" s="46"/>
      <x:c r="F3" s="46" t="str">
        <x:v>Day</x:v>
      </x:c>
      <x:c r="G3" s="46" t="str">
        <x:v>Casual</x:v>
      </x:c>
      <x:c r="H3" s="46" t="str">
        <x:v>Member</x:v>
      </x:c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8" t="str">
        <x:v>Monday</x:v>
      </x:c>
      <x:c r="B4" s="48" t="str">
        <x:v>Casual</x:v>
      </x:c>
      <x:c r="C4" s="50" t="n">
        <x:v>101356</x:v>
      </x:c>
      <x:c r="D4" s="51" t="n">
        <x:v>39.3</x:v>
      </x:c>
      <x:c r="E4" s="46"/>
      <x:c r="F4" s="46" t="str">
        <x:v>Monday</x:v>
      </x:c>
      <x:c r="G4" s="46" t="n">
        <x:v>101356</x:v>
      </x:c>
      <x:c r="H4" s="46" t="n">
        <x:v>458714</x:v>
      </x:c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8" t="str">
        <x:v>Tuesday</x:v>
      </x:c>
      <x:c r="B5" s="48" t="str">
        <x:v>Casual</x:v>
      </x:c>
      <x:c r="C5" s="50" t="n">
        <x:v>88495</x:v>
      </x:c>
      <x:c r="D5" s="51" t="n">
        <x:v>37.57</x:v>
      </x:c>
      <x:c r="E5" s="46"/>
      <x:c r="F5" s="46" t="str">
        <x:v>Tuesday</x:v>
      </x:c>
      <x:c r="G5" s="46" t="n">
        <x:v>88495</x:v>
      </x:c>
      <x:c r="H5" s="46" t="n">
        <x:v>496951</x:v>
      </x:c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8" t="str">
        <x:v>Wednesday</x:v>
      </x:c>
      <x:c r="B6" s="48" t="str">
        <x:v>Casual</x:v>
      </x:c>
      <x:c r="C6" s="50" t="n">
        <x:v>89601</x:v>
      </x:c>
      <x:c r="D6" s="51" t="n">
        <x:v>36.68</x:v>
      </x:c>
      <x:c r="E6" s="46"/>
      <x:c r="F6" s="46" t="str">
        <x:v>Wednesday</x:v>
      </x:c>
      <x:c r="G6" s="46" t="n">
        <x:v>89601</x:v>
      </x:c>
      <x:c r="H6" s="46" t="n">
        <x:v>494205</x:v>
      </x:c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8" t="str">
        <x:v>Thursday</x:v>
      </x:c>
      <x:c r="B7" s="48" t="str">
        <x:v>Casual</x:v>
      </x:c>
      <x:c r="C7" s="50" t="n">
        <x:v>101203</x:v>
      </x:c>
      <x:c r="D7" s="51" t="n">
        <x:v>37.39</x:v>
      </x:c>
      <x:c r="E7" s="46"/>
      <x:c r="F7" s="46" t="str">
        <x:v>Thursday</x:v>
      </x:c>
      <x:c r="G7" s="46" t="n">
        <x:v>101203</x:v>
      </x:c>
      <x:c r="H7" s="46" t="n">
        <x:v>486837</x:v>
      </x:c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8" t="str">
        <x:v>Friday</x:v>
      </x:c>
      <x:c r="B8" s="48" t="str">
        <x:v>Casual</x:v>
      </x:c>
      <x:c r="C8" s="50" t="n">
        <x:v>120934</x:v>
      </x:c>
      <x:c r="D8" s="51" t="n">
        <x:v>38.31</x:v>
      </x:c>
      <x:c r="E8" s="46"/>
      <x:c r="F8" s="46" t="str">
        <x:v>Friday</x:v>
      </x:c>
      <x:c r="G8" s="46" t="n">
        <x:v>120934</x:v>
      </x:c>
      <x:c r="H8" s="46" t="n">
        <x:v>456890</x:v>
      </x:c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8" t="str">
        <x:v>Saturday</x:v>
      </x:c>
      <x:c r="B9" s="48" t="str">
        <x:v>Casual</x:v>
      </x:c>
      <x:c r="C9" s="50" t="n">
        <x:v>207760</x:v>
      </x:c>
      <x:c r="D9" s="51" t="n">
        <x:v>41.55</x:v>
      </x:c>
      <x:c r="E9" s="46"/>
      <x:c r="F9" s="46" t="str">
        <x:v>Saturday</x:v>
      </x:c>
      <x:c r="G9" s="46" t="n">
        <x:v>207760</x:v>
      </x:c>
      <x:c r="H9" s="46" t="n">
        <x:v>287078</x:v>
      </x:c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8" t="str">
        <x:v>Sunday</x:v>
      </x:c>
      <x:c r="B10" s="48" t="str">
        <x:v>Casual</x:v>
      </x:c>
      <x:c r="C10" s="50" t="n">
        <x:v>169941</x:v>
      </x:c>
      <x:c r="D10" s="51" t="n">
        <x:v>41.33</x:v>
      </x:c>
      <x:c r="E10" s="46"/>
      <x:c r="F10" s="46" t="str">
        <x:v>Sunday</x:v>
      </x:c>
      <x:c r="G10" s="46" t="n">
        <x:v>169941</x:v>
      </x:c>
      <x:c r="H10" s="46" t="n">
        <x:v>256191</x:v>
      </x:c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8" t="str">
        <x:v>Monday</x:v>
      </x:c>
      <x:c r="B11" s="48" t="str">
        <x:v>Member</x:v>
      </x:c>
      <x:c r="C11" s="50" t="n">
        <x:v>458714</x:v>
      </x:c>
      <x:c r="D11" s="51" t="n">
        <x:v>12.64</x:v>
      </x:c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8" t="str">
        <x:v>Tuesday</x:v>
      </x:c>
      <x:c r="B12" s="48" t="str">
        <x:v>Member</x:v>
      </x:c>
      <x:c r="C12" s="50" t="n">
        <x:v>496951</x:v>
      </x:c>
      <x:c r="D12" s="51" t="n">
        <x:v>12.58</x:v>
      </x:c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8" t="str">
        <x:v>Wednesday</x:v>
      </x:c>
      <x:c r="B13" s="48" t="str">
        <x:v>Member</x:v>
      </x:c>
      <x:c r="C13" s="50" t="n">
        <x:v>494205</x:v>
      </x:c>
      <x:c r="D13" s="51" t="n">
        <x:v>12.62</x:v>
      </x:c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8" t="str">
        <x:v>Thursday</x:v>
      </x:c>
      <x:c r="B14" s="48" t="str">
        <x:v>Member</x:v>
      </x:c>
      <x:c r="C14" s="50" t="n">
        <x:v>486837</x:v>
      </x:c>
      <x:c r="D14" s="51" t="n">
        <x:v>12.64</x:v>
      </x:c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8" t="str">
        <x:v>Friday</x:v>
      </x:c>
      <x:c r="B15" s="48" t="str">
        <x:v>Member</x:v>
      </x:c>
      <x:c r="C15" s="50" t="n">
        <x:v>456890</x:v>
      </x:c>
      <x:c r="D15" s="51" t="n">
        <x:v>12.54</x:v>
      </x:c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8" t="str">
        <x:v>Saturday</x:v>
      </x:c>
      <x:c r="B16" s="48" t="str">
        <x:v>Member</x:v>
      </x:c>
      <x:c r="C16" s="50" t="n">
        <x:v>287078</x:v>
      </x:c>
      <x:c r="D16" s="51" t="n">
        <x:v>14.46</x:v>
      </x:c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8" t="str">
        <x:v>Sunday</x:v>
      </x:c>
      <x:c r="B17" s="48" t="str">
        <x:v>Member</x:v>
      </x:c>
      <x:c r="C17" s="50" t="n">
        <x:v>256191</x:v>
      </x:c>
      <x:c r="D17" s="51" t="n">
        <x:v>14.22</x:v>
      </x:c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d89c99ddb0c4a83"/>
  <x:tableParts count="1">
    <x:tablePart xmlns:r="http://schemas.openxmlformats.org/officeDocument/2006/relationships" r:id="Ra4ebf3774f254f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6" hidden="0" customWidth="1"/>
  </x:cols>
  <x:sheetData>
    <x:row r="1">
      <x:c r="A1" s="5" t="str">
        <x:v>Monthly ride volume and average ride length</x:v>
      </x:c>
      <x:c r="B1" s="5"/>
      <x:c r="C1" s="5"/>
      <x:c r="D1" s="5"/>
      <x:c r="E1" s="5"/>
      <x:c r="F1" s="5"/>
      <x:c r="G1" s="5"/>
      <x:c r="H1" s="5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36" t="str">
        <x:v>Month</x:v>
      </x:c>
      <x:c r="B3" s="36" t="str">
        <x:v>Ride count</x:v>
      </x:c>
      <x:c r="C3" s="36" t="str">
        <x:v>Average ride length (min)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8" t="n">
        <x:v>1</x:v>
      </x:c>
      <x:c r="B4" s="50" t="n">
        <x:v>103272</x:v>
      </x:c>
      <x:c r="C4" s="51" t="n">
        <x:v>12.44</x:v>
      </x:c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8" t="n">
        <x:v>2</x:v>
      </x:c>
      <x:c r="B5" s="50" t="n">
        <x:v>96186</x:v>
      </x:c>
      <x:c r="C5" s="51" t="n">
        <x:v>11.72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8" t="n">
        <x:v>3</x:v>
      </x:c>
      <x:c r="B6" s="50" t="n">
        <x:v>165611</x:v>
      </x:c>
      <x:c r="C6" s="51" t="n">
        <x:v>13.71</x:v>
      </x:c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8" t="n">
        <x:v>4</x:v>
      </x:c>
      <x:c r="B7" s="50" t="n">
        <x:v>265310</x:v>
      </x:c>
      <x:c r="C7" s="51" t="n">
        <x:v>17.57</x:v>
      </x:c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8" t="n">
        <x:v>5</x:v>
      </x:c>
      <x:c r="B8" s="50" t="n">
        <x:v>367458</x:v>
      </x:c>
      <x:c r="C8" s="51" t="n">
        <x:v>19.53</x:v>
      </x:c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8" t="n">
        <x:v>6</x:v>
      </x:c>
      <x:c r="B9" s="50" t="n">
        <x:v>475395</x:v>
      </x:c>
      <x:c r="C9" s="51" t="n">
        <x:v>21.26</x:v>
      </x:c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8" t="n">
        <x:v>7</x:v>
      </x:c>
      <x:c r="B10" s="50" t="n">
        <x:v>557315</x:v>
      </x:c>
      <x:c r="C10" s="51" t="n">
        <x:v>22.62</x:v>
      </x:c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8" t="n">
        <x:v>8</x:v>
      </x:c>
      <x:c r="B11" s="50" t="n">
        <x:v>590184</x:v>
      </x:c>
      <x:c r="C11" s="51" t="n">
        <x:v>22.18</x:v>
      </x:c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8" t="n">
        <x:v>9</x:v>
      </x:c>
      <x:c r="B12" s="50" t="n">
        <x:v>493219</x:v>
      </x:c>
      <x:c r="C12" s="51" t="n">
        <x:v>19.63</x:v>
      </x:c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8" t="n">
        <x:v>10</x:v>
      </x:c>
      <x:c r="B13" s="50" t="n">
        <x:v>371786</x:v>
      </x:c>
      <x:c r="C13" s="51" t="n">
        <x:v>16.47</x:v>
      </x:c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8" t="n">
        <x:v>11</x:v>
      </x:c>
      <x:c r="B14" s="50" t="n">
        <x:v>177176</x:v>
      </x:c>
      <x:c r="C14" s="51" t="n">
        <x:v>13.54</x:v>
      </x:c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8" t="n">
        <x:v>12</x:v>
      </x:c>
      <x:c r="B15" s="50" t="n">
        <x:v>155092</x:v>
      </x:c>
      <x:c r="C15" s="51" t="n">
        <x:v>13.79</x:v>
      </x:c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a88e87b605304204"/>
  <x:tableParts count="1">
    <x:tablePart xmlns:r="http://schemas.openxmlformats.org/officeDocument/2006/relationships" r:id="R6528bcb7580e483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5" hidden="0" customWidth="1"/>
    <x:col min="4" max="4" width="24" hidden="0" customWidth="1"/>
  </x:cols>
  <x:sheetData>
    <x:row r="1">
      <x:c r="A1" s="5" t="str">
        <x:v>Monthly Member vs Casual summary</x:v>
      </x:c>
      <x:c r="B1" s="5"/>
      <x:c r="C1" s="5"/>
      <x:c r="D1" s="5"/>
      <x:c r="E1" s="5"/>
      <x:c r="F1" s="5"/>
      <x:c r="G1" s="5"/>
      <x:c r="H1" s="5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36" t="str">
        <x:v>Month</x:v>
      </x:c>
      <x:c r="B3" s="36" t="str">
        <x:v>User type</x:v>
      </x:c>
      <x:c r="C3" s="36" t="str">
        <x:v>Ride count</x:v>
      </x:c>
      <x:c r="D3" s="36" t="str">
        <x:v>Average ride length (min)</x:v>
      </x:c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8" t="n">
        <x:v>1</x:v>
      </x:c>
      <x:c r="B4" s="48" t="str">
        <x:v>Casual</x:v>
      </x:c>
      <x:c r="C4" s="50" t="n">
        <x:v>4591</x:v>
      </x:c>
      <x:c r="D4" s="51" t="n">
        <x:v>33.62</x:v>
      </x:c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8" t="n">
        <x:v>1</x:v>
      </x:c>
      <x:c r="B5" s="48" t="str">
        <x:v>Member</x:v>
      </x:c>
      <x:c r="C5" s="50" t="n">
        <x:v>98601</x:v>
      </x:c>
      <x:c r="D5" s="51" t="n">
        <x:v>11.46</x:v>
      </x:c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8" t="n">
        <x:v>2</x:v>
      </x:c>
      <x:c r="B6" s="48" t="str">
        <x:v>Casual</x:v>
      </x:c>
      <x:c r="C6" s="50" t="n">
        <x:v>2627</x:v>
      </x:c>
      <x:c r="D6" s="51" t="n">
        <x:v>29.35</x:v>
      </x:c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8" t="n">
        <x:v>2</x:v>
      </x:c>
      <x:c r="B7" s="48" t="str">
        <x:v>Member</x:v>
      </x:c>
      <x:c r="C7" s="50" t="n">
        <x:v>93522</x:v>
      </x:c>
      <x:c r="D7" s="51" t="n">
        <x:v>11.23</x:v>
      </x:c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8" t="n">
        <x:v>3</x:v>
      </x:c>
      <x:c r="B8" s="48" t="str">
        <x:v>Casual</x:v>
      </x:c>
      <x:c r="C8" s="50" t="n">
        <x:v>15877</x:v>
      </x:c>
      <x:c r="D8" s="51" t="n">
        <x:v>36.74</x:v>
      </x:c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8" t="n">
        <x:v>3</x:v>
      </x:c>
      <x:c r="B9" s="48" t="str">
        <x:v>Member</x:v>
      </x:c>
      <x:c r="C9" s="50" t="n">
        <x:v>149659</x:v>
      </x:c>
      <x:c r="D9" s="51" t="n">
        <x:v>11.26</x:v>
      </x:c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8" t="n">
        <x:v>4</x:v>
      </x:c>
      <x:c r="B10" s="48" t="str">
        <x:v>Casual</x:v>
      </x:c>
      <x:c r="C10" s="50" t="n">
        <x:v>47669</x:v>
      </x:c>
      <x:c r="D10" s="51" t="n">
        <x:v>40.86</x:v>
      </x:c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8" t="n">
        <x:v>4</x:v>
      </x:c>
      <x:c r="B11" s="48" t="str">
        <x:v>Member</x:v>
      </x:c>
      <x:c r="C11" s="50" t="n">
        <x:v>217531</x:v>
      </x:c>
      <x:c r="D11" s="51" t="n">
        <x:v>12.47</x:v>
      </x:c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8" t="n">
        <x:v>5</x:v>
      </x:c>
      <x:c r="B12" s="48" t="str">
        <x:v>Casual</x:v>
      </x:c>
      <x:c r="C12" s="50" t="n">
        <x:v>81507</x:v>
      </x:c>
      <x:c r="D12" s="51" t="n">
        <x:v>41.58</x:v>
      </x:c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8" t="n">
        <x:v>5</x:v>
      </x:c>
      <x:c r="B13" s="48" t="str">
        <x:v>Member</x:v>
      </x:c>
      <x:c r="C13" s="50" t="n">
        <x:v>285793</x:v>
      </x:c>
      <x:c r="D13" s="51" t="n">
        <x:v>13.24</x:v>
      </x:c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8" t="n">
        <x:v>6</x:v>
      </x:c>
      <x:c r="B14" s="48" t="str">
        <x:v>Casual</x:v>
      </x:c>
      <x:c r="C14" s="50" t="n">
        <x:v>130066</x:v>
      </x:c>
      <x:c r="D14" s="51" t="n">
        <x:v>40.42</x:v>
      </x:c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8" t="n">
        <x:v>6</x:v>
      </x:c>
      <x:c r="B15" s="48" t="str">
        <x:v>Member</x:v>
      </x:c>
      <x:c r="C15" s="50" t="n">
        <x:v>345135</x:v>
      </x:c>
      <x:c r="D15" s="51" t="n">
        <x:v>14.04</x:v>
      </x:c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8" t="n">
        <x:v>7</x:v>
      </x:c>
      <x:c r="B16" s="48" t="str">
        <x:v>Casual</x:v>
      </x:c>
      <x:c r="C16" s="50" t="n">
        <x:v>175433</x:v>
      </x:c>
      <x:c r="D16" s="51" t="n">
        <x:v>40.61</x:v>
      </x:c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8" t="n">
        <x:v>7</x:v>
      </x:c>
      <x:c r="B17" s="48" t="str">
        <x:v>Member</x:v>
      </x:c>
      <x:c r="C17" s="50" t="n">
        <x:v>381615</x:v>
      </x:c>
      <x:c r="D17" s="51" t="n">
        <x:v>14.35</x:v>
      </x:c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8" t="n">
        <x:v>8</x:v>
      </x:c>
      <x:c r="B18" s="48" t="str">
        <x:v>Casual</x:v>
      </x:c>
      <x:c r="C18" s="50" t="n">
        <x:v>186625</x:v>
      </x:c>
      <x:c r="D18" s="51" t="n">
        <x:v>40.14</x:v>
      </x:c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8" t="n">
        <x:v>8</x:v>
      </x:c>
      <x:c r="B19" s="48" t="str">
        <x:v>Member</x:v>
      </x:c>
      <x:c r="C19" s="50" t="n">
        <x:v>403241</x:v>
      </x:c>
      <x:c r="D19" s="51" t="n">
        <x:v>13.86</x:v>
      </x:c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8" t="n">
        <x:v>9</x:v>
      </x:c>
      <x:c r="B20" s="48" t="str">
        <x:v>Casual</x:v>
      </x:c>
      <x:c r="C20" s="50" t="n">
        <x:v>128988</x:v>
      </x:c>
      <x:c r="D20" s="51" t="n">
        <x:v>37.81</x:v>
      </x:c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8" t="n">
        <x:v>9</x:v>
      </x:c>
      <x:c r="B21" s="48" t="str">
        <x:v>Member</x:v>
      </x:c>
      <x:c r="C21" s="50" t="n">
        <x:v>364004</x:v>
      </x:c>
      <x:c r="D21" s="51" t="n">
        <x:v>13.18</x:v>
      </x:c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8" t="n">
        <x:v>10</x:v>
      </x:c>
      <x:c r="B22" s="48" t="str">
        <x:v>Casual</x:v>
      </x:c>
      <x:c r="C22" s="50" t="n">
        <x:v>70889</x:v>
      </x:c>
      <x:c r="D22" s="51" t="n">
        <x:v>35.48</x:v>
      </x:c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8" t="n">
        <x:v>10</x:v>
      </x:c>
      <x:c r="B23" s="48" t="str">
        <x:v>Member</x:v>
      </x:c>
      <x:c r="C23" s="50" t="n">
        <x:v>300717</x:v>
      </x:c>
      <x:c r="D23" s="51" t="n">
        <x:v>11.99</x:v>
      </x:c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8" t="n">
        <x:v>11</x:v>
      </x:c>
      <x:c r="B24" s="48" t="str">
        <x:v>Casual</x:v>
      </x:c>
      <x:c r="C24" s="50" t="n">
        <x:v>18653</x:v>
      </x:c>
      <x:c r="D24" s="51" t="n">
        <x:v>34.31</x:v>
      </x:c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8" t="n">
        <x:v>11</x:v>
      </x:c>
      <x:c r="B25" s="48" t="str">
        <x:v>Member</x:v>
      </x:c>
      <x:c r="C25" s="50" t="n">
        <x:v>158401</x:v>
      </x:c>
      <x:c r="D25" s="51" t="n">
        <x:v>11.09</x:v>
      </x:c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8" t="n">
        <x:v>12</x:v>
      </x:c>
      <x:c r="B26" s="48" t="str">
        <x:v>Casual</x:v>
      </x:c>
      <x:c r="C26" s="50" t="n">
        <x:v>16365</x:v>
      </x:c>
      <x:c r="D26" s="51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8" t="n">
        <x:v>12</x:v>
      </x:c>
      <x:c r="B27" s="48" t="str">
        <x:v>Member</x:v>
      </x:c>
      <x:c r="C27" s="50" t="n">
        <x:v>138647</x:v>
      </x:c>
      <x:c r="D27" s="51" t="n">
        <x:v>11.04</x:v>
      </x:c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33c534d0fa64d2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6" hidden="0" customWidth="1"/>
  </x:cols>
  <x:sheetData>
    <x:row r="1">
      <x:c r="A1" s="5" t="str">
        <x:v>Quarterly/seasonal summary</x:v>
      </x:c>
      <x:c r="B1" s="5"/>
      <x:c r="C1" s="5"/>
      <x:c r="D1" s="5"/>
      <x:c r="E1" s="5"/>
      <x:c r="F1" s="5"/>
      <x:c r="G1" s="5"/>
      <x:c r="H1" s="5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36" t="str">
        <x:v>Quarter</x:v>
      </x:c>
      <x:c r="B3" s="36" t="str">
        <x:v>Ride count</x:v>
      </x:c>
      <x:c r="C3" s="36" t="str">
        <x:v>Average ride length (min)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8" t="str">
        <x:v>Q1</x:v>
      </x:c>
      <x:c r="B4" s="50" t="n">
        <x:v>365069</x:v>
      </x:c>
      <x:c r="C4" s="51" t="n">
        <x:v>12.83</x:v>
      </x:c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8" t="str">
        <x:v>Q2</x:v>
      </x:c>
      <x:c r="B5" s="50" t="n">
        <x:v>1108163</x:v>
      </x:c>
      <x:c r="C5" s="51" t="n">
        <x:v>19.8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8" t="str">
        <x:v>Q3</x:v>
      </x:c>
      <x:c r="B6" s="50" t="n">
        <x:v>1640718</x:v>
      </x:c>
      <x:c r="C6" s="51" t="n">
        <x:v>21.56</x:v>
      </x:c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8" t="str">
        <x:v>Q4</x:v>
      </x:c>
      <x:c r="B7" s="50" t="n">
        <x:v>704054</x:v>
      </x:c>
      <x:c r="C7" s="51" t="n">
        <x:v>15.14</x:v>
      </x:c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6"/>
      <x:c r="B8" s="46"/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6"/>
      <x:c r="B9" s="46"/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/>
      <x:c r="B11" s="46"/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8905f053c39477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</x:cols>
  <x:sheetData>
    <x:row r="1">
      <x:c r="A1" s="5" t="str">
        <x:v>Hourly ride demand</x:v>
      </x:c>
      <x:c r="B1" s="5"/>
      <x:c r="C1" s="5"/>
      <x:c r="D1" s="5"/>
      <x:c r="E1" s="5"/>
      <x:c r="F1" s="5"/>
      <x:c r="G1" s="5"/>
      <x:c r="H1" s="5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36" t="str">
        <x:v>Hour</x:v>
      </x:c>
      <x:c r="B3" s="36" t="str">
        <x:v>Ride count</x:v>
      </x:c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8" t="n">
        <x:v>0</x:v>
      </x:c>
      <x:c r="B4" s="50" t="n">
        <x:v>24078</x:v>
      </x:c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8" t="n">
        <x:v>1</x:v>
      </x:c>
      <x:c r="B5" s="50" t="n">
        <x:v>14417</x:v>
      </x:c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8" t="n">
        <x:v>2</x:v>
      </x:c>
      <x:c r="B6" s="50" t="n">
        <x:v>8664</x:v>
      </x:c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8" t="n">
        <x:v>3</x:v>
      </x:c>
      <x:c r="B7" s="50" t="n">
        <x:v>5611</x:v>
      </x:c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8" t="n">
        <x:v>4</x:v>
      </x:c>
      <x:c r="B8" s="50" t="n">
        <x:v>7789</x:v>
      </x:c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8" t="n">
        <x:v>5</x:v>
      </x:c>
      <x:c r="B9" s="50" t="n">
        <x:v>35770</x:v>
      </x:c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8" t="n">
        <x:v>6</x:v>
      </x:c>
      <x:c r="B10" s="50" t="n">
        <x:v>108232</x:v>
      </x:c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8" t="n">
        <x:v>7</x:v>
      </x:c>
      <x:c r="B11" s="50" t="n">
        <x:v>237708</x:v>
      </x:c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8" t="n">
        <x:v>8</x:v>
      </x:c>
      <x:c r="B12" s="50" t="n">
        <x:v>305780</x:v>
      </x:c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8" t="n">
        <x:v>9</x:v>
      </x:c>
      <x:c r="B13" s="50" t="n">
        <x:v>163833</x:v>
      </x:c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8" t="n">
        <x:v>10</x:v>
      </x:c>
      <x:c r="B14" s="50" t="n">
        <x:v>145464</x:v>
      </x:c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8" t="n">
        <x:v>11</x:v>
      </x:c>
      <x:c r="B15" s="50" t="n">
        <x:v>179966</x:v>
      </x:c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8" t="n">
        <x:v>12</x:v>
      </x:c>
      <x:c r="B16" s="50" t="n">
        <x:v>206267</x:v>
      </x:c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8" t="n">
        <x:v>13</x:v>
      </x:c>
      <x:c r="B17" s="50" t="n">
        <x:v>207125</x:v>
      </x:c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8" t="n">
        <x:v>14</x:v>
      </x:c>
      <x:c r="B18" s="50" t="n">
        <x:v>206385</x:v>
      </x:c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8" t="n">
        <x:v>15</x:v>
      </x:c>
      <x:c r="B19" s="50" t="n">
        <x:v>243440</x:v>
      </x:c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8" t="n">
        <x:v>16</x:v>
      </x:c>
      <x:c r="B20" s="50" t="n">
        <x:v>375778</x:v>
      </x:c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8" t="n">
        <x:v>17</x:v>
      </x:c>
      <x:c r="B21" s="50" t="n">
        <x:v>475154</x:v>
      </x:c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8" t="n">
        <x:v>18</x:v>
      </x:c>
      <x:c r="B22" s="50" t="n">
        <x:v>315253</x:v>
      </x:c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8" t="n">
        <x:v>19</x:v>
      </x:c>
      <x:c r="B23" s="50" t="n">
        <x:v>208760</x:v>
      </x:c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8" t="n">
        <x:v>20</x:v>
      </x:c>
      <x:c r="B24" s="50" t="n">
        <x:v>134160</x:v>
      </x:c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8" t="n">
        <x:v>21</x:v>
      </x:c>
      <x:c r="B25" s="50" t="n">
        <x:v>96193</x:v>
      </x:c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8" t="n">
        <x:v>22</x:v>
      </x:c>
      <x:c r="B26" s="50" t="n">
        <x:v>69701</x:v>
      </x:c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8" t="n">
        <x:v>23</x:v>
      </x:c>
      <x:c r="B27" s="50" t="n">
        <x:v>42476</x:v>
      </x:c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184ab673c32477f"/>
  <x:tableParts count="1">
    <x:tablePart xmlns:r="http://schemas.openxmlformats.org/officeDocument/2006/relationships" r:id="Re9b86ab6a747423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6" hidden="0" customWidth="1"/>
  </x:cols>
  <x:sheetData>
    <x:row r="1">
      <x:c r="A1" s="5" t="str">
        <x:v>Hourly demand by user type</x:v>
      </x:c>
      <x:c r="B1" s="5"/>
      <x:c r="C1" s="5"/>
      <x:c r="D1" s="5"/>
      <x:c r="E1" s="5"/>
      <x:c r="F1" s="5"/>
      <x:c r="G1" s="5"/>
      <x:c r="H1" s="5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36" t="str">
        <x:v>hour</x:v>
      </x:c>
      <x:c r="B3" s="36" t="str">
        <x:v>member_casual</x:v>
      </x:c>
      <x:c r="C3" s="36" t="str">
        <x:v>ride_count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8" t="n">
        <x:v>0</x:v>
      </x:c>
      <x:c r="B4" s="48" t="str">
        <x:v>Casual</x:v>
      </x:c>
      <x:c r="C4" s="50" t="n">
        <x:v>8204</x:v>
      </x:c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8" t="n">
        <x:v>0</x:v>
      </x:c>
      <x:c r="B5" s="48" t="str">
        <x:v>Member</x:v>
      </x:c>
      <x:c r="C5" s="50" t="n">
        <x:v>15874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8" t="n">
        <x:v>1</x:v>
      </x:c>
      <x:c r="B6" s="48" t="str">
        <x:v>Casual</x:v>
      </x:c>
      <x:c r="C6" s="50" t="n">
        <x:v>5384</x:v>
      </x:c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8" t="n">
        <x:v>1</x:v>
      </x:c>
      <x:c r="B7" s="48" t="str">
        <x:v>Member</x:v>
      </x:c>
      <x:c r="C7" s="50" t="n">
        <x:v>9033</x:v>
      </x:c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8" t="n">
        <x:v>2</x:v>
      </x:c>
      <x:c r="B8" s="48" t="str">
        <x:v>Casual</x:v>
      </x:c>
      <x:c r="C8" s="50" t="n">
        <x:v>3335</x:v>
      </x:c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8" t="n">
        <x:v>2</x:v>
      </x:c>
      <x:c r="B9" s="48" t="str">
        <x:v>Member</x:v>
      </x:c>
      <x:c r="C9" s="50" t="n">
        <x:v>5329</x:v>
      </x:c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8" t="n">
        <x:v>3</x:v>
      </x:c>
      <x:c r="B10" s="48" t="str">
        <x:v>Casual</x:v>
      </x:c>
      <x:c r="C10" s="50" t="n">
        <x:v>1925</x:v>
      </x:c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8" t="n">
        <x:v>3</x:v>
      </x:c>
      <x:c r="B11" s="48" t="str">
        <x:v>Member</x:v>
      </x:c>
      <x:c r="C11" s="50" t="n">
        <x:v>3686</x:v>
      </x:c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8" t="n">
        <x:v>4</x:v>
      </x:c>
      <x:c r="B12" s="48" t="str">
        <x:v>Casual</x:v>
      </x:c>
      <x:c r="C12" s="50" t="n">
        <x:v>1175</x:v>
      </x:c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8" t="n">
        <x:v>4</x:v>
      </x:c>
      <x:c r="B13" s="48" t="str">
        <x:v>Member</x:v>
      </x:c>
      <x:c r="C13" s="50" t="n">
        <x:v>6614</x:v>
      </x:c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8" t="n">
        <x:v>5</x:v>
      </x:c>
      <x:c r="B14" s="48" t="str">
        <x:v>Casual</x:v>
      </x:c>
      <x:c r="C14" s="50" t="n">
        <x:v>2614</x:v>
      </x:c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8" t="n">
        <x:v>5</x:v>
      </x:c>
      <x:c r="B15" s="48" t="str">
        <x:v>Member</x:v>
      </x:c>
      <x:c r="C15" s="50" t="n">
        <x:v>33156</x:v>
      </x:c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8" t="n">
        <x:v>6</x:v>
      </x:c>
      <x:c r="B16" s="48" t="str">
        <x:v>Casual</x:v>
      </x:c>
      <x:c r="C16" s="50" t="n">
        <x:v>6091</x:v>
      </x:c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8" t="n">
        <x:v>6</x:v>
      </x:c>
      <x:c r="B17" s="48" t="str">
        <x:v>Member</x:v>
      </x:c>
      <x:c r="C17" s="50" t="n">
        <x:v>102141</x:v>
      </x:c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8" t="n">
        <x:v>7</x:v>
      </x:c>
      <x:c r="B18" s="48" t="str">
        <x:v>Casual</x:v>
      </x:c>
      <x:c r="C18" s="50" t="n">
        <x:v>12866</x:v>
      </x:c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8" t="n">
        <x:v>7</x:v>
      </x:c>
      <x:c r="B19" s="48" t="str">
        <x:v>Member</x:v>
      </x:c>
      <x:c r="C19" s="50" t="n">
        <x:v>224842</x:v>
      </x:c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8" t="n">
        <x:v>8</x:v>
      </x:c>
      <x:c r="B20" s="48" t="str">
        <x:v>Casual</x:v>
      </x:c>
      <x:c r="C20" s="50" t="n">
        <x:v>21798</x:v>
      </x:c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8" t="n">
        <x:v>8</x:v>
      </x:c>
      <x:c r="B21" s="48" t="str">
        <x:v>Member</x:v>
      </x:c>
      <x:c r="C21" s="50" t="n">
        <x:v>283982</x:v>
      </x:c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8" t="n">
        <x:v>9</x:v>
      </x:c>
      <x:c r="B22" s="48" t="str">
        <x:v>Casual</x:v>
      </x:c>
      <x:c r="C22" s="50" t="n">
        <x:v>28702</x:v>
      </x:c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8" t="n">
        <x:v>9</x:v>
      </x:c>
      <x:c r="B23" s="48" t="str">
        <x:v>Member</x:v>
      </x:c>
      <x:c r="C23" s="50" t="n">
        <x:v>135131</x:v>
      </x:c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8" t="n">
        <x:v>10</x:v>
      </x:c>
      <x:c r="B24" s="48" t="str">
        <x:v>Casual</x:v>
      </x:c>
      <x:c r="C24" s="50" t="n">
        <x:v>44764</x:v>
      </x:c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8" t="n">
        <x:v>10</x:v>
      </x:c>
      <x:c r="B25" s="48" t="str">
        <x:v>Member</x:v>
      </x:c>
      <x:c r="C25" s="50" t="n">
        <x:v>100700</x:v>
      </x:c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8" t="n">
        <x:v>11</x:v>
      </x:c>
      <x:c r="B26" s="48" t="str">
        <x:v>Casual</x:v>
      </x:c>
      <x:c r="C26" s="50" t="n">
        <x:v>60036</x:v>
      </x:c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8" t="n">
        <x:v>11</x:v>
      </x:c>
      <x:c r="B27" s="48" t="str">
        <x:v>Member</x:v>
      </x:c>
      <x:c r="C27" s="50" t="n">
        <x:v>119930</x:v>
      </x:c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8" t="n">
        <x:v>12</x:v>
      </x:c>
      <x:c r="B28" s="48" t="str">
        <x:v>Casual</x:v>
      </x:c>
      <x:c r="C28" s="50" t="n">
        <x:v>69591</x:v>
      </x:c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8" t="n">
        <x:v>12</x:v>
      </x:c>
      <x:c r="B29" s="48" t="str">
        <x:v>Member</x:v>
      </x:c>
      <x:c r="C29" s="50" t="n">
        <x:v>136676</x:v>
      </x:c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8" t="n">
        <x:v>13</x:v>
      </x:c>
      <x:c r="B30" s="48" t="str">
        <x:v>Casual</x:v>
      </x:c>
      <x:c r="C30" s="50" t="n">
        <x:v>75179</x:v>
      </x:c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8" t="n">
        <x:v>13</x:v>
      </x:c>
      <x:c r="B31" s="48" t="str">
        <x:v>Member</x:v>
      </x:c>
      <x:c r="C31" s="50" t="n">
        <x:v>131946</x:v>
      </x:c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8" t="n">
        <x:v>14</x:v>
      </x:c>
      <x:c r="B32" s="48" t="str">
        <x:v>Casual</x:v>
      </x:c>
      <x:c r="C32" s="50" t="n">
        <x:v>78471</x:v>
      </x:c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8" t="n">
        <x:v>14</x:v>
      </x:c>
      <x:c r="B33" s="48" t="str">
        <x:v>Member</x:v>
      </x:c>
      <x:c r="C33" s="50" t="n">
        <x:v>127914</x:v>
      </x:c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8" t="n">
        <x:v>15</x:v>
      </x:c>
      <x:c r="B34" s="48" t="str">
        <x:v>Casual</x:v>
      </x:c>
      <x:c r="C34" s="50" t="n">
        <x:v>80094</x:v>
      </x:c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8" t="n">
        <x:v>15</x:v>
      </x:c>
      <x:c r="B35" s="48" t="str">
        <x:v>Member</x:v>
      </x:c>
      <x:c r="C35" s="50" t="n">
        <x:v>163346</x:v>
      </x:c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8" t="n">
        <x:v>16</x:v>
      </x:c>
      <x:c r="B36" s="48" t="str">
        <x:v>Casual</x:v>
      </x:c>
      <x:c r="C36" s="50" t="n">
        <x:v>82877</x:v>
      </x:c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8" t="n">
        <x:v>16</x:v>
      </x:c>
      <x:c r="B37" s="48" t="str">
        <x:v>Member</x:v>
      </x:c>
      <x:c r="C37" s="50" t="n">
        <x:v>292901</x:v>
      </x:c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8" t="n">
        <x:v>17</x:v>
      </x:c>
      <x:c r="B38" s="48" t="str">
        <x:v>Casual</x:v>
      </x:c>
      <x:c r="C38" s="50" t="n">
        <x:v>84487</x:v>
      </x:c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8" t="n">
        <x:v>17</x:v>
      </x:c>
      <x:c r="B39" s="48" t="str">
        <x:v>Member</x:v>
      </x:c>
      <x:c r="C39" s="50" t="n">
        <x:v>390667</x:v>
      </x:c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8" t="n">
        <x:v>18</x:v>
      </x:c>
      <x:c r="B40" s="48" t="str">
        <x:v>Casual</x:v>
      </x:c>
      <x:c r="C40" s="50" t="n">
        <x:v>68019</x:v>
      </x:c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8" t="n">
        <x:v>18</x:v>
      </x:c>
      <x:c r="B41" s="48" t="str">
        <x:v>Member</x:v>
      </x:c>
      <x:c r="C41" s="50" t="n">
        <x:v>247234</x:v>
      </x:c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8" t="n">
        <x:v>19</x:v>
      </x:c>
      <x:c r="B42" s="48" t="str">
        <x:v>Casual</x:v>
      </x:c>
      <x:c r="C42" s="50" t="n">
        <x:v>50375</x:v>
      </x:c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8" t="n">
        <x:v>19</x:v>
      </x:c>
      <x:c r="B43" s="48" t="str">
        <x:v>Member</x:v>
      </x:c>
      <x:c r="C43" s="50" t="n">
        <x:v>158385</x:v>
      </x:c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8" t="n">
        <x:v>20</x:v>
      </x:c>
      <x:c r="B44" s="48" t="str">
        <x:v>Casual</x:v>
      </x:c>
      <x:c r="C44" s="50" t="n">
        <x:v>34403</x:v>
      </x:c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8" t="n">
        <x:v>20</x:v>
      </x:c>
      <x:c r="B45" s="48" t="str">
        <x:v>Member</x:v>
      </x:c>
      <x:c r="C45" s="50" t="n">
        <x:v>99757</x:v>
      </x:c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8" t="n">
        <x:v>21</x:v>
      </x:c>
      <x:c r="B46" s="48" t="str">
        <x:v>Casual</x:v>
      </x:c>
      <x:c r="C46" s="50" t="n">
        <x:v>24925</x:v>
      </x:c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8" t="n">
        <x:v>21</x:v>
      </x:c>
      <x:c r="B47" s="48" t="str">
        <x:v>Member</x:v>
      </x:c>
      <x:c r="C47" s="50" t="n">
        <x:v>71268</x:v>
      </x:c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8" t="n">
        <x:v>22</x:v>
      </x:c>
      <x:c r="B48" s="48" t="str">
        <x:v>Casual</x:v>
      </x:c>
      <x:c r="C48" s="50" t="n">
        <x:v>21166</x:v>
      </x:c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8" t="n">
        <x:v>22</x:v>
      </x:c>
      <x:c r="B49" s="48" t="str">
        <x:v>Member</x:v>
      </x:c>
      <x:c r="C49" s="50" t="n">
        <x:v>48535</x:v>
      </x:c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8" t="n">
        <x:v>23</x:v>
      </x:c>
      <x:c r="B50" s="48" t="str">
        <x:v>Casual</x:v>
      </x:c>
      <x:c r="C50" s="50" t="n">
        <x:v>14156</x:v>
      </x:c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8" t="n">
        <x:v>23</x:v>
      </x:c>
      <x:c r="B51" s="48" t="str">
        <x:v>Member</x:v>
      </x:c>
      <x:c r="C51" s="50" t="n">
        <x:v>28320</x:v>
      </x:c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2c3aaef10d3487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24" hidden="0" customWidth="1"/>
  </x:cols>
  <x:sheetData>
    <x:row r="1">
      <x:c r="A1" s="5" t="str">
        <x:v>Weekday vs weekend by user type</x:v>
      </x:c>
      <x:c r="B1" s="5"/>
      <x:c r="C1" s="5"/>
      <x:c r="D1" s="5"/>
      <x:c r="E1" s="5"/>
      <x:c r="F1" s="5"/>
      <x:c r="G1" s="5"/>
      <x:c r="H1" s="5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36" t="str">
        <x:v>Day type</x:v>
      </x:c>
      <x:c r="B3" s="36" t="str">
        <x:v>User type</x:v>
      </x:c>
      <x:c r="C3" s="36" t="str">
        <x:v>Ride count</x:v>
      </x:c>
      <x:c r="D3" s="36" t="str">
        <x:v>Average ride length (min)</x:v>
      </x:c>
      <x:c r="E3" s="46"/>
      <x:c r="F3" s="46" t="str">
        <x:v>Day type</x:v>
      </x:c>
      <x:c r="G3" s="46" t="str">
        <x:v>Casual</x:v>
      </x:c>
      <x:c r="H3" s="46" t="str">
        <x:v>Member</x:v>
      </x:c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8" t="str">
        <x:v>Weekday</x:v>
      </x:c>
      <x:c r="B4" s="48" t="str">
        <x:v>Casual</x:v>
      </x:c>
      <x:c r="C4" s="50" t="n">
        <x:v>501589</x:v>
      </x:c>
      <x:c r="D4" s="51" t="n">
        <x:v>37.9</x:v>
      </x:c>
      <x:c r="E4" s="46"/>
      <x:c r="F4" s="46" t="str">
        <x:v>Weekday</x:v>
      </x:c>
      <x:c r="G4" s="46" t="n">
        <x:v>501589</x:v>
      </x:c>
      <x:c r="H4" s="46" t="n">
        <x:v>2393597</x:v>
      </x:c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8" t="str">
        <x:v>Weekday</x:v>
      </x:c>
      <x:c r="B5" s="48" t="str">
        <x:v>Member</x:v>
      </x:c>
      <x:c r="C5" s="50" t="n">
        <x:v>2393597</x:v>
      </x:c>
      <x:c r="D5" s="51" t="n">
        <x:v>12.6</x:v>
      </x:c>
      <x:c r="E5" s="46"/>
      <x:c r="F5" s="46" t="str">
        <x:v>Weekend</x:v>
      </x:c>
      <x:c r="G5" s="46" t="n">
        <x:v>377701</x:v>
      </x:c>
      <x:c r="H5" s="46" t="n">
        <x:v>543269</x:v>
      </x:c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8" t="str">
        <x:v>Weekend</x:v>
      </x:c>
      <x:c r="B6" s="48" t="str">
        <x:v>Casual</x:v>
      </x:c>
      <x:c r="C6" s="50" t="n">
        <x:v>377701</x:v>
      </x:c>
      <x:c r="D6" s="51" t="n">
        <x:v>41.45</x:v>
      </x:c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8" t="str">
        <x:v>Weekend</x:v>
      </x:c>
      <x:c r="B7" s="48" t="str">
        <x:v>Member</x:v>
      </x:c>
      <x:c r="C7" s="50" t="n">
        <x:v>543269</x:v>
      </x:c>
      <x:c r="D7" s="51" t="n">
        <x:v>14.35</x:v>
      </x:c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6"/>
      <x:c r="B8" s="46"/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6"/>
      <x:c r="B9" s="46"/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/>
      <x:c r="B11" s="46"/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815a313a99b4745"/>
  <x:tableParts count="1">
    <x:tablePart xmlns:r="http://schemas.openxmlformats.org/officeDocument/2006/relationships" r:id="Ra4a26640d289400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</x:cols>
  <x:sheetData>
    <x:row r="1">
      <x:c r="A1" s="5" t="str">
        <x:v>Age-group distribution</x:v>
      </x:c>
      <x:c r="B1" s="5"/>
      <x:c r="C1" s="5"/>
      <x:c r="D1" s="5"/>
      <x:c r="E1" s="5"/>
      <x:c r="F1" s="5"/>
      <x:c r="G1" s="5"/>
      <x:c r="H1" s="5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36" t="str">
        <x:v>Age group</x:v>
      </x:c>
      <x:c r="B3" s="36" t="str">
        <x:v>Ride count</x:v>
      </x:c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8" t="str">
        <x:v>Under 20</x:v>
      </x:c>
      <x:c r="B4" s="50" t="n">
        <x:v>30773</x:v>
      </x:c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8" t="str">
        <x:v>20-29</x:v>
      </x:c>
      <x:c r="B5" s="50" t="n">
        <x:v>1249727</x:v>
      </x:c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8" t="str">
        <x:v>30-39</x:v>
      </x:c>
      <x:c r="B6" s="50" t="n">
        <x:v>1152279</x:v>
      </x:c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8" t="str">
        <x:v>40-49</x:v>
      </x:c>
      <x:c r="B7" s="50" t="n">
        <x:v>424686</x:v>
      </x:c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8" t="str">
        <x:v>50-59</x:v>
      </x:c>
      <x:c r="B8" s="50" t="n">
        <x:v>305419</x:v>
      </x:c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8" t="str">
        <x:v>60+</x:v>
      </x:c>
      <x:c r="B9" s="50" t="n">
        <x:v>116596</x:v>
      </x:c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8" t="str">
        <x:v>Unknown</x:v>
      </x:c>
      <x:c r="B10" s="50" t="n">
        <x:v>538924</x:v>
      </x:c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/>
      <x:c r="B11" s="46"/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990bf595063488a"/>
  <x:tableParts count="1">
    <x:tablePart xmlns:r="http://schemas.openxmlformats.org/officeDocument/2006/relationships" r:id="R559b5c83952b48a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24" hidden="0" customWidth="1"/>
  </x:cols>
  <x:sheetData>
    <x:row r="1">
      <x:c r="A1" s="5" t="str">
        <x:v>Age group by user type</x:v>
      </x:c>
      <x:c r="B1" s="5"/>
      <x:c r="C1" s="5"/>
      <x:c r="D1" s="5"/>
      <x:c r="E1" s="5"/>
      <x:c r="F1" s="5"/>
      <x:c r="G1" s="5"/>
      <x:c r="H1" s="5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36" t="str">
        <x:v>Age group</x:v>
      </x:c>
      <x:c r="B3" s="36" t="str">
        <x:v>User type</x:v>
      </x:c>
      <x:c r="C3" s="36" t="str">
        <x:v>Ride count</x:v>
      </x:c>
      <x:c r="D3" s="36" t="str">
        <x:v>Average ride length (min)</x:v>
      </x:c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8" t="str">
        <x:v>Under 20</x:v>
      </x:c>
      <x:c r="B4" s="48" t="str">
        <x:v>Casual</x:v>
      </x:c>
      <x:c r="C4" s="50" t="n">
        <x:v>11826</x:v>
      </x:c>
      <x:c r="D4" s="51" t="n">
        <x:v>38.93</x:v>
      </x:c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8" t="str">
        <x:v>Under 20</x:v>
      </x:c>
      <x:c r="B5" s="48" t="str">
        <x:v>Member</x:v>
      </x:c>
      <x:c r="C5" s="50" t="n">
        <x:v>18508</x:v>
      </x:c>
      <x:c r="D5" s="51" t="n">
        <x:v>11.12</x:v>
      </x:c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8" t="str">
        <x:v>20-29</x:v>
      </x:c>
      <x:c r="B6" s="48" t="str">
        <x:v>Casual</x:v>
      </x:c>
      <x:c r="C6" s="50" t="n">
        <x:v>184523</x:v>
      </x:c>
      <x:c r="D6" s="51" t="n">
        <x:v>32.65</x:v>
      </x:c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8" t="str">
        <x:v>20-29</x:v>
      </x:c>
      <x:c r="B7" s="48" t="str">
        <x:v>Member</x:v>
      </x:c>
      <x:c r="C7" s="50" t="n">
        <x:v>1064804</x:v>
      </x:c>
      <x:c r="D7" s="51" t="n">
        <x:v>13</x:v>
      </x:c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8" t="str">
        <x:v>30-39</x:v>
      </x:c>
      <x:c r="B8" s="48" t="str">
        <x:v>Casual</x:v>
      </x:c>
      <x:c r="C8" s="50" t="n">
        <x:v>95563</x:v>
      </x:c>
      <x:c r="D8" s="51" t="n">
        <x:v>35.98</x:v>
      </x:c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8" t="str">
        <x:v>30-39</x:v>
      </x:c>
      <x:c r="B9" s="48" t="str">
        <x:v>Member</x:v>
      </x:c>
      <x:c r="C9" s="50" t="n">
        <x:v>1056425</x:v>
      </x:c>
      <x:c r="D9" s="51" t="n">
        <x:v>12.94</x:v>
      </x:c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8" t="str">
        <x:v>40-49</x:v>
      </x:c>
      <x:c r="B10" s="48" t="str">
        <x:v>Casual</x:v>
      </x:c>
      <x:c r="C10" s="50" t="n">
        <x:v>31753</x:v>
      </x:c>
      <x:c r="D10" s="51" t="n">
        <x:v>41.81</x:v>
      </x:c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8" t="str">
        <x:v>40-49</x:v>
      </x:c>
      <x:c r="B11" s="48" t="str">
        <x:v>Member</x:v>
      </x:c>
      <x:c r="C11" s="50" t="n">
        <x:v>392836</x:v>
      </x:c>
      <x:c r="D11" s="51" t="n">
        <x:v>12.9</x:v>
      </x:c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8" t="str">
        <x:v>50-59</x:v>
      </x:c>
      <x:c r="B12" s="48" t="str">
        <x:v>Casual</x:v>
      </x:c>
      <x:c r="C12" s="50" t="n">
        <x:v>19581</x:v>
      </x:c>
      <x:c r="D12" s="51" t="n">
        <x:v>47.64</x:v>
      </x:c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8" t="str">
        <x:v>50-59</x:v>
      </x:c>
      <x:c r="B13" s="48" t="str">
        <x:v>Member</x:v>
      </x:c>
      <x:c r="C13" s="50" t="n">
        <x:v>285788</x:v>
      </x:c>
      <x:c r="D13" s="51" t="n">
        <x:v>12.71</x:v>
      </x:c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8" t="str">
        <x:v>60+</x:v>
      </x:c>
      <x:c r="B14" s="48" t="str">
        <x:v>Casual</x:v>
      </x:c>
      <x:c r="C14" s="50" t="n">
        <x:v>4560</x:v>
      </x:c>
      <x:c r="D14" s="51" t="n">
        <x:v>55.52</x:v>
      </x:c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8" t="str">
        <x:v>60+</x:v>
      </x:c>
      <x:c r="B15" s="48" t="str">
        <x:v>Member</x:v>
      </x:c>
      <x:c r="C15" s="50" t="n">
        <x:v>112015</x:v>
      </x:c>
      <x:c r="D15" s="51" t="n">
        <x:v>12.85</x:v>
      </x:c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8d472f7f24b48b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</x:cols>
  <x:sheetData>
    <x:row r="1">
      <x:c r="A1" s="5" t="str">
        <x:v>Gender by user type</x:v>
      </x:c>
      <x:c r="B1" s="5"/>
      <x:c r="C1" s="5"/>
      <x:c r="D1" s="5"/>
      <x:c r="E1" s="5"/>
      <x:c r="F1" s="5"/>
      <x:c r="G1" s="5"/>
      <x:c r="H1" s="5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36" t="str">
        <x:v>Gender</x:v>
      </x:c>
      <x:c r="B3" s="36" t="str">
        <x:v>User type</x:v>
      </x:c>
      <x:c r="C3" s="36" t="str">
        <x:v>Ride count</x:v>
      </x:c>
      <x:c r="D3" s="46"/>
      <x:c r="E3" s="46" t="str">
        <x:v>Gender</x:v>
      </x:c>
      <x:c r="F3" s="46" t="str">
        <x:v>Casual</x:v>
      </x:c>
      <x:c r="G3" s="46" t="str">
        <x:v>Member</x:v>
      </x:c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8" t="str">
        <x:v>Unknown</x:v>
      </x:c>
      <x:c r="B4" s="48" t="str">
        <x:v>Casual</x:v>
      </x:c>
      <x:c r="C4" s="50" t="n">
        <x:v>536455</x:v>
      </x:c>
      <x:c r="D4" s="46"/>
      <x:c r="E4" s="46" t="str">
        <x:v>Unknown</x:v>
      </x:c>
      <x:c r="F4" s="46" t="n">
        <x:v>536455</x:v>
      </x:c>
      <x:c r="G4" s="46" t="n">
        <x:v>22751</x:v>
      </x:c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8" t="str">
        <x:v>Unknown</x:v>
      </x:c>
      <x:c r="B5" s="48" t="str">
        <x:v>Member</x:v>
      </x:c>
      <x:c r="C5" s="50" t="n">
        <x:v>22751</x:v>
      </x:c>
      <x:c r="D5" s="46"/>
      <x:c r="E5" s="46" t="str">
        <x:v>Female</x:v>
      </x:c>
      <x:c r="F5" s="46" t="n">
        <x:v>131439</x:v>
      </x:c>
      <x:c r="G5" s="46" t="n">
        <x:v>726539</x:v>
      </x:c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8" t="str">
        <x:v>Female</x:v>
      </x:c>
      <x:c r="B6" s="48" t="str">
        <x:v>Casual</x:v>
      </x:c>
      <x:c r="C6" s="50" t="n">
        <x:v>131439</x:v>
      </x:c>
      <x:c r="D6" s="46"/>
      <x:c r="E6" s="46" t="str">
        <x:v>Male</x:v>
      </x:c>
      <x:c r="F6" s="46" t="n">
        <x:v>212743</x:v>
      </x:c>
      <x:c r="G6" s="46" t="n">
        <x:v>2188077</x:v>
      </x:c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8" t="str">
        <x:v>Female</x:v>
      </x:c>
      <x:c r="B7" s="48" t="str">
        <x:v>Member</x:v>
      </x:c>
      <x:c r="C7" s="50" t="n">
        <x:v>726539</x:v>
      </x:c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8" t="str">
        <x:v>Male</x:v>
      </x:c>
      <x:c r="B8" s="48" t="str">
        <x:v>Casual</x:v>
      </x:c>
      <x:c r="C8" s="50" t="n">
        <x:v>212743</x:v>
      </x:c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8" t="str">
        <x:v>Male</x:v>
      </x:c>
      <x:c r="B9" s="48" t="str">
        <x:v>Member</x:v>
      </x:c>
      <x:c r="C9" s="50" t="n">
        <x:v>2188077</x:v>
      </x:c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/>
      <x:c r="B11" s="46"/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1353631d80a4b01"/>
  <x:tableParts count="1">
    <x:tablePart xmlns:r="http://schemas.openxmlformats.org/officeDocument/2006/relationships" r:id="R1c7b48ac0c754fa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4" hidden="0" customWidth="1"/>
  </x:cols>
  <x:sheetData>
    <x:row r="1">
      <x:c r="A1" s="5" t="str">
        <x:v>Ride-length distribution</x:v>
      </x:c>
      <x:c r="B1" s="5"/>
      <x:c r="C1" s="5"/>
      <x:c r="D1" s="5"/>
      <x:c r="E1" s="5"/>
      <x:c r="F1" s="5"/>
      <x:c r="G1" s="5"/>
      <x:c r="H1" s="5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36" t="str">
        <x:v>Ride length group</x:v>
      </x:c>
      <x:c r="B3" s="36" t="str">
        <x:v>Ride count</x:v>
      </x:c>
      <x:c r="C3" s="36" t="str">
        <x:v>Share of valid-duration rides</x:v>
      </x:c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8" t="str">
        <x:v>0-10 min</x:v>
      </x:c>
      <x:c r="B4" s="50" t="n">
        <x:v>1603566</x:v>
      </x:c>
      <x:c r="C4" s="57" t="n">
        <x:f>B4/$B$10</x:f>
        <x:v>0.4202045199410087</x:v>
      </x:c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8" t="str">
        <x:v>10-20 min</x:v>
      </x:c>
      <x:c r="B5" s="50" t="n">
        <x:v>1165248</x:v>
      </x:c>
      <x:c r="C5" s="57" t="n">
        <x:f>B5/$B$10</x:f>
        <x:v>0.3053460078676029</x:v>
      </x:c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8" t="str">
        <x:v>20-30 min</x:v>
      </x:c>
      <x:c r="B6" s="50" t="n">
        <x:v>519938</x:v>
      </x:c>
      <x:c r="C6" s="57" t="n">
        <x:f>B6/$B$10</x:f>
        <x:v>0.13624652660949918</x:v>
      </x:c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8" t="str">
        <x:v>30-60 min</x:v>
      </x:c>
      <x:c r="B7" s="50" t="n">
        <x:v>371445</x:v>
      </x:c>
      <x:c r="C7" s="57" t="n">
        <x:f>B7/$B$10</x:f>
        <x:v>0.09733485738004422</x:v>
      </x:c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8" t="str">
        <x:v>60-120 min</x:v>
      </x:c>
      <x:c r="B8" s="50" t="n">
        <x:v>115253</x:v>
      </x:c>
      <x:c r="C8" s="57" t="n">
        <x:f>B8/$B$10</x:f>
        <x:v>0.03020133348846326</x:v>
      </x:c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8" t="str">
        <x:v>120+ min</x:v>
      </x:c>
      <x:c r="B9" s="50" t="n">
        <x:v>40706</x:v>
      </x:c>
      <x:c r="C9" s="57" t="n">
        <x:f>B9/$B$10</x:f>
        <x:v>0.010666754713381738</x:v>
      </x:c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8" t="str">
        <x:v>Total valid-duration rides</x:v>
      </x:c>
      <x:c r="B10" s="50" t="n">
        <x:f>SUM(B4:B9)</x:f>
        <x:v>3816156</x:v>
      </x:c>
      <x:c r="C10" s="57" t="n">
        <x:f>SUM(C4:C9)</x:f>
        <x:v>1</x:v>
      </x:c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/>
      <x:c r="B11" s="46"/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cba237ea368409e"/>
  <x:tableParts count="1">
    <x:tablePart xmlns:r="http://schemas.openxmlformats.org/officeDocument/2006/relationships" r:id="R175268235b6548e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8" hidden="0" customWidth="1"/>
    <x:col min="4" max="4" width="16" hidden="0" customWidth="1"/>
  </x:cols>
  <x:sheetData>
    <x:row r="1">
      <x:c r="A1" s="5" t="str">
        <x:v>Top 10 starting stations</x:v>
      </x:c>
      <x:c r="B1" s="5"/>
      <x:c r="C1" s="5"/>
      <x:c r="D1" s="5"/>
      <x:c r="E1" s="5"/>
      <x:c r="F1" s="5"/>
      <x:c r="G1" s="5"/>
      <x:c r="H1" s="5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36" t="str">
        <x:v>Rank</x:v>
      </x:c>
      <x:c r="B3" s="36" t="str">
        <x:v>Station ID</x:v>
      </x:c>
      <x:c r="C3" s="36" t="str">
        <x:v>Station name</x:v>
      </x:c>
      <x:c r="D3" s="36" t="str">
        <x:v>Ride count</x:v>
      </x:c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8" t="n">
        <x:v>1</x:v>
      </x:c>
      <x:c r="B4" s="48" t="n">
        <x:v>35</x:v>
      </x:c>
      <x:c r="C4" s="48" t="str">
        <x:v>Streeter Dr &amp; Grand Ave</x:v>
      </x:c>
      <x:c r="D4" s="50" t="n">
        <x:v>67983</x:v>
      </x:c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8" t="n">
        <x:v>2</x:v>
      </x:c>
      <x:c r="B5" s="48" t="n">
        <x:v>192</x:v>
      </x:c>
      <x:c r="C5" s="48" t="str">
        <x:v>Canal St &amp; Adams St</x:v>
      </x:c>
      <x:c r="D5" s="50" t="n">
        <x:v>54389</x:v>
      </x:c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8" t="n">
        <x:v>3</x:v>
      </x:c>
      <x:c r="B6" s="48" t="n">
        <x:v>77</x:v>
      </x:c>
      <x:c r="C6" s="48" t="str">
        <x:v>Clinton St &amp; Madison St</x:v>
      </x:c>
      <x:c r="D6" s="50" t="n">
        <x:v>49908</x:v>
      </x:c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8" t="n">
        <x:v>4</x:v>
      </x:c>
      <x:c r="B7" s="48" t="n">
        <x:v>76</x:v>
      </x:c>
      <x:c r="C7" s="48" t="str">
        <x:v>Lake Shore Dr &amp; Monroe St</x:v>
      </x:c>
      <x:c r="D7" s="50" t="n">
        <x:v>49804</x:v>
      </x:c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8" t="n">
        <x:v>5</x:v>
      </x:c>
      <x:c r="B8" s="48" t="n">
        <x:v>91</x:v>
      </x:c>
      <x:c r="C8" s="48" t="str">
        <x:v>Clinton St &amp; Washington Blvd</x:v>
      </x:c>
      <x:c r="D8" s="50" t="n">
        <x:v>48153</x:v>
      </x:c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8" t="n">
        <x:v>6</x:v>
      </x:c>
      <x:c r="B9" s="48" t="n">
        <x:v>195</x:v>
      </x:c>
      <x:c r="C9" s="48" t="str">
        <x:v>Columbus Dr &amp; Randolph St</x:v>
      </x:c>
      <x:c r="D9" s="50" t="n">
        <x:v>39192</x:v>
      </x:c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8" t="n">
        <x:v>7</x:v>
      </x:c>
      <x:c r="B10" s="48" t="n">
        <x:v>43</x:v>
      </x:c>
      <x:c r="C10" s="48" t="str">
        <x:v>Michigan Ave &amp; Washington St</x:v>
      </x:c>
      <x:c r="D10" s="50" t="n">
        <x:v>37696</x:v>
      </x:c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8" t="n">
        <x:v>8</x:v>
      </x:c>
      <x:c r="B11" s="48" t="n">
        <x:v>85</x:v>
      </x:c>
      <x:c r="C11" s="48" t="str">
        <x:v>Michigan Ave &amp; Oak St</x:v>
      </x:c>
      <x:c r="D11" s="50" t="n">
        <x:v>35449</x:v>
      </x:c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8" t="n">
        <x:v>9</x:v>
      </x:c>
      <x:c r="B12" s="48" t="n">
        <x:v>268</x:v>
      </x:c>
      <x:c r="C12" s="48" t="str">
        <x:v>Lake Shore Dr &amp; North Blvd</x:v>
      </x:c>
      <x:c r="D12" s="50" t="n">
        <x:v>34472</x:v>
      </x:c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8" t="n">
        <x:v>10</x:v>
      </x:c>
      <x:c r="B13" s="48" t="n">
        <x:v>287</x:v>
      </x:c>
      <x:c r="C13" s="48" t="str">
        <x:v>Franklin St &amp; Monroe St</x:v>
      </x:c>
      <x:c r="D13" s="50" t="n">
        <x:v>34297</x:v>
      </x:c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cc5382d981246ba"/>
  <x:tableParts count="1">
    <x:tablePart xmlns:r="http://schemas.openxmlformats.org/officeDocument/2006/relationships" r:id="Rf5514bf7d09540e8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8" hidden="0" customWidth="1"/>
    <x:col min="4" max="4" width="16" hidden="0" customWidth="1"/>
  </x:cols>
  <x:sheetData>
    <x:row r="1">
      <x:c r="A1" s="5" t="str">
        <x:v>Top 10 ending stations</x:v>
      </x:c>
      <x:c r="B1" s="5"/>
      <x:c r="C1" s="5"/>
      <x:c r="D1" s="5"/>
      <x:c r="E1" s="5"/>
      <x:c r="F1" s="5"/>
      <x:c r="G1" s="5"/>
      <x:c r="H1" s="5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36" t="str">
        <x:v>Rank</x:v>
      </x:c>
      <x:c r="B3" s="36" t="str">
        <x:v>Station ID</x:v>
      </x:c>
      <x:c r="C3" s="36" t="str">
        <x:v>Station name</x:v>
      </x:c>
      <x:c r="D3" s="36" t="str">
        <x:v>Ride count</x:v>
      </x:c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8" t="n">
        <x:v>1</x:v>
      </x:c>
      <x:c r="B4" s="48" t="n">
        <x:v>35</x:v>
      </x:c>
      <x:c r="C4" s="48" t="str">
        <x:v>Streeter Dr &amp; Grand Ave</x:v>
      </x:c>
      <x:c r="D4" s="50" t="n">
        <x:v>81723</x:v>
      </x:c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8" t="n">
        <x:v>2</x:v>
      </x:c>
      <x:c r="B5" s="48" t="n">
        <x:v>91</x:v>
      </x:c>
      <x:c r="C5" s="48" t="str">
        <x:v>Clinton St &amp; Washington Blvd</x:v>
      </x:c>
      <x:c r="D5" s="50" t="n">
        <x:v>50686</x:v>
      </x:c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8" t="n">
        <x:v>3</x:v>
      </x:c>
      <x:c r="B6" s="48" t="n">
        <x:v>192</x:v>
      </x:c>
      <x:c r="C6" s="48" t="str">
        <x:v>Canal St &amp; Adams St</x:v>
      </x:c>
      <x:c r="D6" s="50" t="n">
        <x:v>50127</x:v>
      </x:c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8" t="n">
        <x:v>4</x:v>
      </x:c>
      <x:c r="B7" s="48" t="n">
        <x:v>77</x:v>
      </x:c>
      <x:c r="C7" s="48" t="str">
        <x:v>Clinton St &amp; Madison St</x:v>
      </x:c>
      <x:c r="D7" s="50" t="n">
        <x:v>47311</x:v>
      </x:c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8" t="n">
        <x:v>5</x:v>
      </x:c>
      <x:c r="B8" s="48" t="n">
        <x:v>268</x:v>
      </x:c>
      <x:c r="C8" s="48" t="str">
        <x:v>Lake Shore Dr &amp; North Blvd</x:v>
      </x:c>
      <x:c r="D8" s="50" t="n">
        <x:v>42459</x:v>
      </x:c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8" t="n">
        <x:v>6</x:v>
      </x:c>
      <x:c r="B9" s="48" t="n">
        <x:v>76</x:v>
      </x:c>
      <x:c r="C9" s="48" t="str">
        <x:v>Lake Shore Dr &amp; Monroe St</x:v>
      </x:c>
      <x:c r="D9" s="50" t="n">
        <x:v>40633</x:v>
      </x:c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8" t="n">
        <x:v>7</x:v>
      </x:c>
      <x:c r="B10" s="48" t="n">
        <x:v>43</x:v>
      </x:c>
      <x:c r="C10" s="48" t="str">
        <x:v>Michigan Ave &amp; Washington St</x:v>
      </x:c>
      <x:c r="D10" s="50" t="n">
        <x:v>40331</x:v>
      </x:c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8" t="n">
        <x:v>8</x:v>
      </x:c>
      <x:c r="B11" s="48" t="n">
        <x:v>85</x:v>
      </x:c>
      <x:c r="C11" s="48" t="str">
        <x:v>Michigan Ave &amp; Oak St</x:v>
      </x:c>
      <x:c r="D11" s="50" t="n">
        <x:v>37849</x:v>
      </x:c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8" t="n">
        <x:v>9</x:v>
      </x:c>
      <x:c r="B12" s="48" t="n">
        <x:v>90</x:v>
      </x:c>
      <x:c r="C12" s="48" t="str">
        <x:v>Millennium Park</x:v>
      </x:c>
      <x:c r="D12" s="50" t="n">
        <x:v>37424</x:v>
      </x:c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8" t="n">
        <x:v>10</x:v>
      </x:c>
      <x:c r="B13" s="48" t="n">
        <x:v>177</x:v>
      </x:c>
      <x:c r="C13" s="48" t="str">
        <x:v>Theater on the Lake</x:v>
      </x:c>
      <x:c r="D13" s="50" t="n">
        <x:v>35939</x:v>
      </x:c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6a61a79e82c4cdb"/>
  <x:tableParts count="1">
    <x:tablePart xmlns:r="http://schemas.openxmlformats.org/officeDocument/2006/relationships" r:id="R18bbb6e115c7498f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8" hidden="0" customWidth="1"/>
    <x:col min="4" max="4" width="16" hidden="0" customWidth="1"/>
  </x:cols>
  <x:sheetData>
    <x:row r="1">
      <x:c r="A1" s="5" t="str">
        <x:v>Top 10 different-station routes</x:v>
      </x:c>
      <x:c r="B1" s="5"/>
      <x:c r="C1" s="5"/>
      <x:c r="D1" s="5"/>
      <x:c r="E1" s="5"/>
      <x:c r="F1" s="5"/>
      <x:c r="G1" s="5"/>
      <x:c r="H1" s="5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36" t="str">
        <x:v>Rank</x:v>
      </x:c>
      <x:c r="B3" s="36" t="str">
        <x:v>From station</x:v>
      </x:c>
      <x:c r="C3" s="36" t="str">
        <x:v>To station</x:v>
      </x:c>
      <x:c r="D3" s="36" t="str">
        <x:v>Ride count</x:v>
      </x:c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8" t="n">
        <x:v>1</x:v>
      </x:c>
      <x:c r="B4" s="48" t="str">
        <x:v>Lake Shore Dr &amp; Monroe St</x:v>
      </x:c>
      <x:c r="C4" s="48" t="str">
        <x:v>Streeter Dr &amp; Grand Ave</x:v>
      </x:c>
      <x:c r="D4" s="50" t="n">
        <x:v>9872</x:v>
      </x:c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8" t="n">
        <x:v>2</x:v>
      </x:c>
      <x:c r="B5" s="48" t="str">
        <x:v>Shedd Aquarium</x:v>
      </x:c>
      <x:c r="C5" s="48" t="str">
        <x:v>Streeter Dr &amp; Grand Ave</x:v>
      </x:c>
      <x:c r="D5" s="50" t="n">
        <x:v>3657</x:v>
      </x:c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8" t="n">
        <x:v>3</x:v>
      </x:c>
      <x:c r="B6" s="48" t="str">
        <x:v>Canal St &amp; Adams St</x:v>
      </x:c>
      <x:c r="C6" s="48" t="str">
        <x:v>Michigan Ave &amp; Washington St</x:v>
      </x:c>
      <x:c r="D6" s="50" t="n">
        <x:v>3649</x:v>
      </x:c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8" t="n">
        <x:v>4</x:v>
      </x:c>
      <x:c r="B7" s="48" t="str">
        <x:v>Streeter Dr &amp; Grand Ave</x:v>
      </x:c>
      <x:c r="C7" s="48" t="str">
        <x:v>Millennium Park</x:v>
      </x:c>
      <x:c r="D7" s="50" t="n">
        <x:v>3376</x:v>
      </x:c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8" t="n">
        <x:v>5</x:v>
      </x:c>
      <x:c r="B8" s="48" t="str">
        <x:v>Streeter Dr &amp; Grand Ave</x:v>
      </x:c>
      <x:c r="C8" s="48" t="str">
        <x:v>Lake Shore Dr &amp; Monroe St</x:v>
      </x:c>
      <x:c r="D8" s="50" t="n">
        <x:v>3319</x:v>
      </x:c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8" t="n">
        <x:v>6</x:v>
      </x:c>
      <x:c r="B9" s="48" t="str">
        <x:v>Streeter Dr &amp; Grand Ave</x:v>
      </x:c>
      <x:c r="C9" s="48" t="str">
        <x:v>Theater on the Lake</x:v>
      </x:c>
      <x:c r="D9" s="50" t="n">
        <x:v>3317</x:v>
      </x:c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8" t="n">
        <x:v>7</x:v>
      </x:c>
      <x:c r="B10" s="48" t="str">
        <x:v>Streeter Dr &amp; Grand Ave</x:v>
      </x:c>
      <x:c r="C10" s="48" t="str">
        <x:v>Lake Shore Dr &amp; North Blvd</x:v>
      </x:c>
      <x:c r="D10" s="50" t="n">
        <x:v>3081</x:v>
      </x:c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8" t="n">
        <x:v>8</x:v>
      </x:c>
      <x:c r="B11" s="48" t="str">
        <x:v>Millennium Park</x:v>
      </x:c>
      <x:c r="C11" s="48" t="str">
        <x:v>Streeter Dr &amp; Grand Ave</x:v>
      </x:c>
      <x:c r="D11" s="50" t="n">
        <x:v>3077</x:v>
      </x:c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8" t="n">
        <x:v>9</x:v>
      </x:c>
      <x:c r="B12" s="48" t="str">
        <x:v>Theater on the Lake</x:v>
      </x:c>
      <x:c r="C12" s="48" t="str">
        <x:v>Streeter Dr &amp; Grand Ave</x:v>
      </x:c>
      <x:c r="D12" s="50" t="n">
        <x:v>2840</x:v>
      </x:c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8" t="n">
        <x:v>10</x:v>
      </x:c>
      <x:c r="B13" s="48" t="str">
        <x:v>Michigan Ave &amp; Washington St</x:v>
      </x:c>
      <x:c r="C13" s="48" t="str">
        <x:v>Clinton St &amp; Washington Blvd</x:v>
      </x:c>
      <x:c r="D13" s="50" t="n">
        <x:v>2840</x:v>
      </x:c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6a108a8c29c49d6"/>
  <x:tableParts count="1">
    <x:tablePart xmlns:r="http://schemas.openxmlformats.org/officeDocument/2006/relationships" r:id="R0b458b46597f4a9d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95" hidden="0" customWidth="1"/>
  </x:cols>
  <x:sheetData>
    <x:row r="1">
      <x:c r="A1" s="5" t="str">
        <x:v>Cyclistic 2019 SQL Analysis – Methodology &amp; Assumptions</x:v>
      </x:c>
      <x:c r="B1" s="5"/>
      <x:c r="C1" s="5"/>
      <x:c r="D1" s="5"/>
      <x:c r="E1" s="5"/>
      <x:c r="F1" s="5"/>
      <x:c r="G1" s="5"/>
      <x:c r="H1" s="5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5"/>
      <x:c r="B2" s="5"/>
      <x:c r="C2" s="5"/>
      <x:c r="D2" s="5"/>
      <x:c r="E2" s="5"/>
      <x:c r="F2" s="5"/>
      <x:c r="G2" s="5"/>
      <x:c r="H2" s="5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 ht="15" hidden="0" customHeight="1">
      <x:c r="A4" s="36" t="str">
        <x:v>Item</x:v>
      </x:c>
      <x:c r="B4" s="36" t="str">
        <x:v>Documentation</x:v>
      </x:c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 ht="15" hidden="0" customHeight="1">
      <x:c r="A5" s="48" t="str">
        <x:v>Business task</x:v>
      </x:c>
      <x:c r="B5" s="48" t="str">
        <x:v>Understand how annual Members and Casual riders use Cyclistic bikes differently.</x:v>
      </x:c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 ht="15" hidden="0" customHeight="1">
      <x:c r="A6" s="48" t="str">
        <x:v>Analysis period</x:v>
      </x:c>
      <x:c r="B6" s="48" t="str">
        <x:v>2019 full year (Q1–Q4).</x:v>
      </x:c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 ht="15" hidden="0" customHeight="1">
      <x:c r="A7" s="48" t="str">
        <x:v>Primary tool</x:v>
      </x:c>
      <x:c r="B7" s="48" t="str">
        <x:v>MySQL Workbench / MySQL; Excel for presentation visuals.</x:v>
      </x:c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 ht="15" hidden="0" customHeight="1">
      <x:c r="A8" s="48" t="str">
        <x:v>Raw trip table</x:v>
      </x:c>
      <x:c r="B8" s="48" t="str">
        <x:v>trips_2019_staging</x:v>
      </x:c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 ht="15" hidden="0" customHeight="1">
      <x:c r="A9" s="48" t="str">
        <x:v>Clean analysis table</x:v>
      </x:c>
      <x:c r="B9" s="48" t="str">
        <x:v>trips_2019</x:v>
      </x:c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 ht="15" hidden="0" customHeight="1">
      <x:c r="A10" s="48" t="str">
        <x:v>Ride duration</x:v>
      </x:c>
      <x:c r="B10" s="48" t="str">
        <x:v>Source tripduration is in seconds; converted to minutes.</x:v>
      </x:c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 ht="15" hidden="0" customHeight="1">
      <x:c r="A11" s="48" t="str">
        <x:v>Outlier rule</x:v>
      </x:c>
      <x:c r="B11" s="48" t="str">
        <x:v>Trips longer than 24 hours were retained in raw data but ride_length_minutes was set to NULL in the analysis table.</x:v>
      </x:c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 ht="15" hidden="0" customHeight="1">
      <x:c r="A12" s="48" t="str">
        <x:v>Birth year rule</x:v>
      </x:c>
      <x:c r="B12" s="48" t="str">
        <x:v>Blank birth years and birth years below 1900 were treated as NULL for age analysis; trips were retained.</x:v>
      </x:c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36" t="str">
        <x:v>Quality check</x:v>
      </x:c>
      <x:c r="B15" s="36" t="str">
        <x:v>Result</x:v>
      </x:c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8" t="str">
        <x:v>Total trips</x:v>
      </x:c>
      <x:c r="B16" s="48" t="n">
        <x:v>3818004</x:v>
      </x:c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8" t="str">
        <x:v>Valid ride-length trips</x:v>
      </x:c>
      <x:c r="B17" s="48" t="n">
        <x:v>3816156</x:v>
      </x:c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8" t="str">
        <x:v>Trips &gt;24 hours</x:v>
      </x:c>
      <x:c r="B18" s="48" t="n">
        <x:v>1848</x:v>
      </x:c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8" t="str">
        <x:v>Same-station trips</x:v>
      </x:c>
      <x:c r="B19" s="48" t="n">
        <x:v>152247</x:v>
      </x:c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8" t="str">
        <x:v>Different-station trips</x:v>
      </x:c>
      <x:c r="B20" s="48" t="n">
        <x:v>3665757</x:v>
      </x:c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8" t="str">
        <x:v>Duplicate trip IDs in 2019 quarters</x:v>
      </x:c>
      <x:c r="B21" s="48" t="str">
        <x:v>None found in quarter-level checks</x:v>
      </x:c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8" t="str">
        <x:v>Missing core fields</x:v>
      </x:c>
      <x:c r="B22" s="48" t="str">
        <x:v>No NULLs found in the explicit core-field check; blank demographic strings were handled separately</x:v>
      </x:c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</x:sheetData>
  <x:mergeCells>
    <x:mergeCell ref="A1:H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5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61" t="str">
        <x:v>Cyclistic 2019 SQL Case Study — Report Summary</x:v>
      </x:c>
    </x:row>
    <x:row r="3">
      <x:c r="A3" s="64" t="str">
        <x:v>Business task</x:v>
      </x:c>
      <x:c r="B3" s="37" t="str">
        <x:v>Understand how annual Members and Casual riders use Cyclistic bikes differently.</x:v>
      </x:c>
    </x:row>
    <x:row r="4">
      <x:c r="A4" s="64" t="str">
        <x:v>Analysis period</x:v>
      </x:c>
      <x:c r="B4" s="37" t="str">
        <x:v>Full year 2019 (Q1–Q4).</x:v>
      </x:c>
    </x:row>
    <x:row r="5">
      <x:c r="A5" s="64" t="str">
        <x:v>Primary tool</x:v>
      </x:c>
      <x:c r="B5" s="37" t="str">
        <x:v>MySQL / MySQL Workbench; Excel for presentation.</x:v>
      </x:c>
    </x:row>
    <x:row r="6">
      <x:c r="A6" s="64" t="str">
        <x:v>Dataset size</x:v>
      </x:c>
      <x:c r="B6" s="37" t="str">
        <x:v>3,818,004 trips.</x:v>
      </x:c>
    </x:row>
    <x:row r="7">
      <x:c r="A7" s="37"/>
      <x:c r="B7" s="37"/>
    </x:row>
    <x:row r="8">
      <x:c r="A8" s="76" t="str">
        <x:v>Key finding</x:v>
      </x:c>
      <x:c r="B8" s="76" t="str">
        <x:v>Value</x:v>
      </x:c>
      <x:c r="C8" s="76" t="str">
        <x:v>Unit</x:v>
      </x:c>
      <x:c r="D8" s="76" t="str">
        <x:v>Evidence / context</x:v>
      </x:c>
      <x:c r="E8" s="76" t="str">
        <x:v>Report use</x:v>
      </x:c>
    </x:row>
    <x:row r="9">
      <x:c r="A9" s="37" t="str">
        <x:v>Members vs Casual</x:v>
      </x:c>
      <x:c r="B9" s="42" t="n">
        <x:v>2937367</x:v>
      </x:c>
      <x:c r="C9" s="37" t="str">
        <x:v>member trips</x:v>
      </x:c>
      <x:c r="D9" s="37" t="str">
        <x:v>2.94M member trips vs 0.88M casual trips.</x:v>
      </x:c>
      <x:c r="E9" s="37" t="str">
        <x:v>Primary chart</x:v>
      </x:c>
    </x:row>
    <x:row r="10">
      <x:c r="A10" s="37" t="str">
        <x:v>Casual average ride</x:v>
      </x:c>
      <x:c r="B10" s="44" t="n">
        <x:v>39.43</x:v>
      </x:c>
      <x:c r="C10" s="37" t="str">
        <x:v>minutes</x:v>
      </x:c>
      <x:c r="D10" s="37" t="str">
        <x:v>Valid ride-length trips.</x:v>
      </x:c>
      <x:c r="E10" s="37" t="str">
        <x:v>Primary chart</x:v>
      </x:c>
    </x:row>
    <x:row r="11">
      <x:c r="A11" s="37" t="str">
        <x:v>Member average ride</x:v>
      </x:c>
      <x:c r="B11" s="44" t="n">
        <x:v>12.93</x:v>
      </x:c>
      <x:c r="C11" s="37" t="str">
        <x:v>minutes</x:v>
      </x:c>
      <x:c r="D11" s="37" t="str">
        <x:v>Valid ride-length trips.</x:v>
      </x:c>
      <x:c r="E11" s="37" t="str">
        <x:v>Primary chart</x:v>
      </x:c>
    </x:row>
    <x:row r="12">
      <x:c r="A12" s="37" t="str">
        <x:v>Weekend casual share</x:v>
      </x:c>
      <x:c r="B12" s="77" t="n">
        <x:v>0.42889522016449455</x:v>
      </x:c>
      <x:c r="C12" s="37" t="str">
        <x:v>share</x:v>
      </x:c>
      <x:c r="D12" s="37" t="str">
        <x:v>Casual rides on weekends.</x:v>
      </x:c>
      <x:c r="E12" s="37" t="str">
        <x:v>Behavior contrast</x:v>
      </x:c>
    </x:row>
    <x:row r="13">
      <x:c r="A13" s="37" t="str">
        <x:v>Weekend member share</x:v>
      </x:c>
      <x:c r="B13" s="77" t="n">
        <x:v>0.18495101225008656</x:v>
      </x:c>
      <x:c r="C13" s="37" t="str">
        <x:v>share</x:v>
      </x:c>
      <x:c r="D13" s="37" t="str">
        <x:v>Member rides on weekends.</x:v>
      </x:c>
      <x:c r="E13" s="37" t="str">
        <x:v>Behavior contrast</x:v>
      </x:c>
    </x:row>
    <x:row r="14">
      <x:c r="A14" s="37" t="str">
        <x:v>Peak hour</x:v>
      </x:c>
      <x:c r="B14" s="42" t="n">
        <x:v>475154</x:v>
      </x:c>
      <x:c r="C14" s="37" t="str">
        <x:v>rides</x:v>
      </x:c>
      <x:c r="D14" s="37" t="str">
        <x:v>17:00 is highest-volume hour.</x:v>
      </x:c>
      <x:c r="E14" s="37" t="str">
        <x:v>Hourly chart</x:v>
      </x:c>
    </x:row>
    <x:row r="15">
      <x:c r="A15" s="37" t="str">
        <x:v>Peak month</x:v>
      </x:c>
      <x:c r="B15" s="42" t="n">
        <x:v>590184</x:v>
      </x:c>
      <x:c r="C15" s="37" t="str">
        <x:v>rides</x:v>
      </x:c>
      <x:c r="D15" s="37" t="str">
        <x:v>August is highest-volume month.</x:v>
      </x:c>
      <x:c r="E15" s="37" t="str">
        <x:v>Seasonality chart</x:v>
      </x:c>
    </x:row>
    <x:row r="16">
      <x:c r="A16" s="37" t="str">
        <x:v>Peak quarter</x:v>
      </x:c>
      <x:c r="B16" s="42" t="n">
        <x:v>1640718</x:v>
      </x:c>
      <x:c r="C16" s="37" t="str">
        <x:v>rides</x:v>
      </x:c>
      <x:c r="D16" s="37" t="str">
        <x:v>Q3 is highest-volume quarter.</x:v>
      </x:c>
      <x:c r="E16" s="37" t="str">
        <x:v>Seasonality chart</x:v>
      </x:c>
    </x:row>
    <x:row r="17">
      <x:c r="A17" s="37" t="str">
        <x:v>Most common day</x:v>
      </x:c>
      <x:c r="B17" s="42" t="n">
        <x:v>588287</x:v>
      </x:c>
      <x:c r="C17" s="37" t="str">
        <x:v>rides</x:v>
      </x:c>
      <x:c r="D17" s="37" t="str">
        <x:v>Thursday has most rides.</x:v>
      </x:c>
      <x:c r="E17" s="37" t="str">
        <x:v>Day-of-week chart</x:v>
      </x:c>
    </x:row>
    <x:row r="18">
      <x:c r="A18" s="37" t="str">
        <x:v>Same-station trips</x:v>
      </x:c>
      <x:c r="B18" s="77" t="n">
        <x:v>0.03987607137132387</x:v>
      </x:c>
      <x:c r="C18" s="37" t="str">
        <x:v>share</x:v>
      </x:c>
      <x:c r="D18" s="37" t="str">
        <x:v>3.99% of all trips.</x:v>
      </x:c>
      <x:c r="E18" s="37" t="str">
        <x:v>Supporting analysis</x:v>
      </x:c>
    </x:row>
    <x:row r="19">
      <x:c r="A19" s="37"/>
      <x:c r="B19" s="37"/>
    </x:row>
    <x:row r="20">
      <x:c r="A20" s="78" t="str">
        <x:v>Three report recommendations</x:v>
      </x:c>
      <x:c r="B20" s="37"/>
      <x:c r="C20"/>
      <x:c r="D20"/>
      <x:c r="E20"/>
      <x:c r="F20"/>
      <x:c r="G20"/>
      <x:c r="H20"/>
    </x:row>
    <x:row r="21">
      <x:c r="A21" s="73" t="str">
        <x:v>1.</x:v>
      </x:c>
      <x:c r="B21" s="37" t="str">
        <x:v>Test membership conversion campaigns around weekends and the high-use warm-season period, when Casual usage is relatively strong and average ride lengths are longer.</x:v>
      </x:c>
    </x:row>
    <x:row r="22">
      <x:c r="A22" s="73" t="str">
        <x:v>2.</x:v>
      </x:c>
      <x:c r="B22" s="37" t="str">
        <x:v>Place membership messaging at high-traffic stations and in the late-afternoon peak window; use A/B testing to measure which messages drive membership sign-ups.</x:v>
      </x:c>
    </x:row>
    <x:row r="23">
      <x:c r="A23" s="73" t="str">
        <x:v>3.</x:v>
      </x:c>
      <x:c r="B23" s="37" t="str">
        <x:v>Develop leisure-oriented digital messaging for Casual riders and evaluate it with conversion tracking, because the trip data shows longer rides and stronger weekend/seasonal behavior but does not reveal the reasons riders choose memberships.</x:v>
      </x:c>
    </x:row>
    <x:row r="24">
      <x:c r="A24" s="37"/>
      <x:c r="B24" s="37"/>
    </x:row>
    <x:row r="25">
      <x:c r="A25" s="79" t="str">
        <x:v>Important limitation</x:v>
      </x:c>
      <x:c r="B25" s="37" t="str">
        <x:v>2019 trip data shows behavior, not individual membership conversion propensity.</x:v>
      </x:c>
    </x:row>
    <x:row r="26">
      <x:c r="A26" s="79" t="str">
        <x:v>Data-quality rule</x:v>
      </x:c>
      <x:c r="B26" s="37" t="str">
        <x:v>1,848 rides over 24 hours were retained in raw data but excluded from ride-length metrics.</x:v>
      </x:c>
    </x:row>
    <x:row r="27">
      <x:c r="A27" s="79" t="str">
        <x:v>Demographics</x:v>
      </x:c>
      <x:c r="B27" s="37" t="str">
        <x:v>Blank/invalid birth years were treated as unknown for age analysis; missing gender was retained as Unknown.</x:v>
      </x:c>
    </x:row>
    <x:row r="28">
      <x:c r="A28" s="79" t="str">
        <x:v>Station data</x:v>
      </x:c>
      <x:c r="B28" s="37" t="str">
        <x:v>2019 station names were taken from trip records; the historical station snapshots only cover earlier periods.</x:v>
      </x:c>
    </x:row>
    <x:row r="29">
      <x:c r="A29" s="79" t="str">
        <x:v>Interpretation</x:v>
      </x:c>
      <x:c r="B29" s="37" t="str">
        <x:v>Recommendations are proposed marketing tests; the dataset does not contain campaign, pricing, purchase, or conversion outcomes.</x:v>
      </x:c>
    </x:row>
  </x:sheetData>
  <x:mergeCells>
    <x:mergeCell ref="A1:H1"/>
    <x:mergeCell ref="A20:H20"/>
  </x:mergeCells>
  <x:pageMargins left="0.7" right="0.7" top="0.75" bottom="0.75" header="0.3" footer="0.3"/>
</x:worksheet>
</file>